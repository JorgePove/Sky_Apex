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Comparativa" state="visible" r:id="rId5"/>
    <sheet sheetId="3" name="Base" state="visible" r:id="rId6"/>
    <sheet sheetId="4" name="Alientormenta" state="visible" r:id="rId7"/>
    <sheet sheetId="5" name="Abrasanubes" state="visible" r:id="rId8"/>
    <sheet sheetId="6" name="Ventoscuro" state="visible" r:id="rId9"/>
    <sheet sheetId="7" name="Fulgor" state="visible" r:id="rId10"/>
    <sheet sheetId="8" name="Dragón enemigo" state="visible" r:id="rId11"/>
    <sheet sheetId="9" name="Torre" state="visible" r:id="rId12"/>
    <sheet sheetId="10" name="Dirigible" state="visible" r:id="rId13"/>
    <sheet sheetId="11" name="Artillería" state="visible" r:id="rId14"/>
    <sheet sheetId="12" name="Batallón" state="visible" r:id="rId15"/>
    <sheet sheetId="13" name="Barco naval" state="visible" r:id="rId16"/>
    <sheet sheetId="14" name="Superdirigible" state="visible" r:id="rId17"/>
    <sheet sheetId="15" name="Sierpe" state="visible" r:id="rId18"/>
    <sheet sheetId="16" name="Lance (aliado)" state="visible" r:id="rId19"/>
  </sheets>
  <calcPr calcId="171027" fullCalcOnLoad="1"/>
</workbook>
</file>

<file path=xl/sharedStrings.xml><?xml version="1.0" encoding="utf-8"?>
<sst xmlns="http://schemas.openxmlformats.org/spreadsheetml/2006/main" count="1445" uniqueCount="403">
  <si>
    <t>Sky Apex · Stats de las unidades</t>
  </si>
  <si>
    <t>El juego lee todas las stats de este Excel: los dragones del jugador, los enemigos y Lance. Cambia un valor, guarda (Ctrl+G) y el juego lo usa.</t>
  </si>
  <si>
    <t>Qué se puede cambiar</t>
  </si>
  <si>
    <t>• Solo la columna «Valor» (en amarillo) de cada pestaña.</t>
  </si>
  <si>
    <t>• Base: los valores base de todos los dragones del jugador.</t>
  </si>
  <si>
    <t>• Alientormenta, Abrasanubes, Ventoscuro y Fulgor: su «Valor» copia el de la Base (es una fórmula) hasta que escribas otro número; esa es su variación.</t>
  </si>
  <si>
    <t xml:space="preserve">   «Diferencia» dice cuánto se aparta de la Base, y el valor se pone en naranja. Para volver a la Base, escribe en la celda: =Base!B&lt;fila&gt; (o copia la de otra fila).</t>
  </si>
  <si>
    <t>• Comparativa: los cuatro dragones y la Base lado a lado (solo para mirar; se rellena sola). En naranja, lo que cambia respecto a la Base.</t>
  </si>
  <si>
    <t>• Dragón enemigo, Torre, Dirigible y Lance (aliado): sus valores de ahora, pendientes de rediseñar.</t>
  </si>
  <si>
    <t>• Artillería, Batallón, Barco naval, Superdirigible y Sierpe (v29): los enemigos nuevos, con valores provisionales para ajustarlos en la galería de enemigos.</t>
  </si>
  <si>
    <t>• En gris: ajustes que no estaban en la lista de stats; tienen los valores que ya usaba el juego.</t>
  </si>
  <si>
    <t>Qué no hay que cambiar</t>
  </si>
  <si>
    <t>• Los nombres de las pestañas y la columna «Clave» (es como el juego reconoce cada stat). Si falta una clave, el juego usa el valor de la Base o el de siempre y lo avisa.</t>
  </si>
  <si>
    <t>• Se pueden añadir notas en columnas nuevas, colores o comentarios: el juego solo lee «Valor» y «Clave».</t>
  </si>
  <si>
    <t>Cómo ver los cambios en el juego</t>
  </si>
  <si>
    <t>• Abre el juego con Jugar.bat (en la carpeta del proyecto). Lee el Excel al abrirse y lo vigila: al guardar, los valores nuevos se aplican en un par de segundos, incluso en pleno vuelo («Stats actualizadas desde el Excel»).</t>
  </si>
  <si>
    <t>• Con doble clic en sky_apex.html, el navegador no deja leer el Excel: usa la copia que se guardó en el HTML la última vez que se construyó (node herramientas/construir.mjs).</t>
  </si>
  <si>
    <t>• En la web de GitHub, el Excel que se subió con el último push.</t>
  </si>
  <si>
    <t>• En el juego, Opciones → «Stats de las unidades» dice de dónde salen las que se están usando.</t>
  </si>
  <si>
    <t>Unidades</t>
  </si>
  <si>
    <t>Velocidades de dragones en km/h; de proyectiles, en m/s. Distancias en m (el rayo, en km). Tiempos en s. Recargas en % de la barra por segundo.</t>
  </si>
  <si>
    <t>Comparativa de los dragones</t>
  </si>
  <si>
    <t>Solo para mirar: se rellena sola con las pestañas de cada dragón. En naranja, lo que cambia respecto a la Base.</t>
  </si>
  <si>
    <t>Stat</t>
  </si>
  <si>
    <t>Unidad</t>
  </si>
  <si>
    <t>Base</t>
  </si>
  <si>
    <t>Alientormenta</t>
  </si>
  <si>
    <t>Abrasanubes</t>
  </si>
  <si>
    <t>Ventoscuro</t>
  </si>
  <si>
    <t>Fulgor</t>
  </si>
  <si>
    <t>Vida y defensa</t>
  </si>
  <si>
    <t>Puntos de vida</t>
  </si>
  <si>
    <t>puntos</t>
  </si>
  <si>
    <t>Puntos de armadura</t>
  </si>
  <si>
    <t>Espera para regenerar la armadura</t>
  </si>
  <si>
    <t>s</t>
  </si>
  <si>
    <t>Regeneración de armadura</t>
  </si>
  <si>
    <t>puntos/s</t>
  </si>
  <si>
    <t>Slots de escudo</t>
  </si>
  <si>
    <t>cargas</t>
  </si>
  <si>
    <t>Duración del escudo</t>
  </si>
  <si>
    <t>Escudo por dragón derribado</t>
  </si>
  <si>
    <t>Disparo básico (clic izquierdo)</t>
  </si>
  <si>
    <t>Daño disparo básico</t>
  </si>
  <si>
    <t>Munición disparo básico</t>
  </si>
  <si>
    <t>disparos</t>
  </si>
  <si>
    <t>Pausa mínima entre disparos</t>
  </si>
  <si>
    <t>Espera antes de recargar</t>
  </si>
  <si>
    <t>Recarga de munición</t>
  </si>
  <si>
    <t>disparos/s</t>
  </si>
  <si>
    <t>Disparo guiado (clic izquierdo mantenido)</t>
  </si>
  <si>
    <t>Daño disparo guiado</t>
  </si>
  <si>
    <t>Munición disparo guiado</t>
  </si>
  <si>
    <t>Alcance del fijado</t>
  </si>
  <si>
    <t>m</t>
  </si>
  <si>
    <t>Tiempo de fijado</t>
  </si>
  <si>
    <t>Lanzallamas (clic derecho)</t>
  </si>
  <si>
    <t>Daño lanzallamas</t>
  </si>
  <si>
    <t>Alcance lanzallamas</t>
  </si>
  <si>
    <t>Tiempo sobrecarga del lanzallamas</t>
  </si>
  <si>
    <t>Tiempo sin armas al sobrecalentarse</t>
  </si>
  <si>
    <t>Tiempo en enfriarse</t>
  </si>
  <si>
    <t>Rayo láser (los dos clics a la vez)</t>
  </si>
  <si>
    <t>Daño rayo láser</t>
  </si>
  <si>
    <t>Duración rayo láser</t>
  </si>
  <si>
    <t>Distancia rayo láser</t>
  </si>
  <si>
    <t>km</t>
  </si>
  <si>
    <t>Recarga rayo láser</t>
  </si>
  <si>
    <t>%/s</t>
  </si>
  <si>
    <t>Recarga por enemigo destruido</t>
  </si>
  <si>
    <t>%</t>
  </si>
  <si>
    <t>Vuelo</t>
  </si>
  <si>
    <t>Velocidad máxima</t>
  </si>
  <si>
    <t>km/h</t>
  </si>
  <si>
    <t>Velocidad boost</t>
  </si>
  <si>
    <t>Duración boost</t>
  </si>
  <si>
    <t>Aceleración del boost</t>
  </si>
  <si>
    <t>Espera para recargar el boost</t>
  </si>
  <si>
    <t>Recarga boost</t>
  </si>
  <si>
    <t>Radio de giro</t>
  </si>
  <si>
    <t>Valores base de los dragones del jugador. Cada dragón los copia salvo los que cambies en su pestaña.</t>
  </si>
  <si>
    <t>Valor</t>
  </si>
  <si>
    <t>Descripción</t>
  </si>
  <si>
    <t>Clave</t>
  </si>
  <si>
    <t>Vida máxima. Ya no se regenera: lo que pierdes no vuelve hasta la siguiente misión (o al reaparecer en el combate libre).</t>
  </si>
  <si>
    <t>vida</t>
  </si>
  <si>
    <t>Barra amarilla encima de la de vida. El daño la gasta primero a ella y, cuando llega a 0, a la vida.</t>
  </si>
  <si>
    <t>armadura</t>
  </si>
  <si>
    <t>Segundos sin recibir daño antes de que la armadura empiece a rellenarse.</t>
  </si>
  <si>
    <t>armadura_espera</t>
  </si>
  <si>
    <t>Lo que se rellena cada segundo, hasta el máximo.</t>
  </si>
  <si>
    <t>armadura_regen</t>
  </si>
  <si>
    <t>Cargas del escudo (R) al empezar; también es el máximo.</t>
  </si>
  <si>
    <t>escudos</t>
  </si>
  <si>
    <t>Segundos que dura cada carga.</t>
  </si>
  <si>
    <t>escudo_duracion</t>
  </si>
  <si>
    <t>Cargas que devuelve cada dragón que derribas tú (0 = no se recargan).</t>
  </si>
  <si>
    <t>escudo_por_derribo</t>
  </si>
  <si>
    <t>Daño de cada impacto.</t>
  </si>
  <si>
    <t>basico_dano</t>
  </si>
  <si>
    <t>Disparos seguidos; se recargan solos.</t>
  </si>
  <si>
    <t>basico_municion</t>
  </si>
  <si>
    <t>Un disparo por clic, como mucho uno cada tanto.</t>
  </si>
  <si>
    <t>basico_pausa</t>
  </si>
  <si>
    <t>Segundos sin disparar antes de que vuelva la munición.</t>
  </si>
  <si>
    <t>basico_recarga_espera</t>
  </si>
  <si>
    <t>Disparos que vuelven cada segundo.</t>
  </si>
  <si>
    <t>basico_recarga</t>
  </si>
  <si>
    <t>Daño del impacto.</t>
  </si>
  <si>
    <t>guiado_dano</t>
  </si>
  <si>
    <t>Cantidad fija por misión: no se recargan. A 0, no hay más.</t>
  </si>
  <si>
    <t>guiado_municion</t>
  </si>
  <si>
    <t>Distancia máxima al blanco para cargar el guiado.</t>
  </si>
  <si>
    <t>guiado_alcance</t>
  </si>
  <si>
    <t>Segundos con la mira en el círculo rojo hasta que sale (v31: 2, antes 3).</t>
  </si>
  <si>
    <t>guiado_fijado</t>
  </si>
  <si>
    <t>Daño por segundo a todo lo que toca.</t>
  </si>
  <si>
    <t>llamas_dano</t>
  </si>
  <si>
    <t>Largo del chorro.</t>
  </si>
  <si>
    <t>llamas_alcance</t>
  </si>
  <si>
    <t>Segundos de fuego seguido hasta sobrecalentarse.</t>
  </si>
  <si>
    <t>llamas_sobrecarga</t>
  </si>
  <si>
    <t>Al sobrecalentarse, ninguna arma funciona durante este tiempo.</t>
  </si>
  <si>
    <t>llamas_bloqueo</t>
  </si>
  <si>
    <t>Al soltar antes de sobrecalentarse, el calor baja de 100 % a 0 en este tiempo.</t>
  </si>
  <si>
    <t>llamas_enfriado</t>
  </si>
  <si>
    <t>Daño por segundo a todo lo que cruza.</t>
  </si>
  <si>
    <t>rayo_dano</t>
  </si>
  <si>
    <t>Segundos desde que lo lanzas.</t>
  </si>
  <si>
    <t>rayo_duracion</t>
  </si>
  <si>
    <t>Largo máximo del rayo (se corta al chocar con el terreno o una isla).</t>
  </si>
  <si>
    <t>rayo_alcance</t>
  </si>
  <si>
    <t>Carga con el tiempo (con 0,5 %/s, de 0 a 100 % en 200 s).</t>
  </si>
  <si>
    <t>rayo_recarga</t>
  </si>
  <si>
    <t>Por cada dragón, torre, dirigible u otra unidad enemiga que destruyes tú (no Lance; los soldados sueltos no cuentan, el batallón entero sí).</t>
  </si>
  <si>
    <t>rayo_por_derribo</t>
  </si>
  <si>
    <t>A todo gas y en vuelo nivelado, sin boost (en picado se puede pasar).</t>
  </si>
  <si>
    <t>vel_max</t>
  </si>
  <si>
    <t>Con boost. También es el tope absoluto, picados incluidos.</t>
  </si>
  <si>
    <t>vel_boost</t>
  </si>
  <si>
    <t>Segundos de boost seguido con la barra llena.</t>
  </si>
  <si>
    <t>boost_duracion</t>
  </si>
  <si>
    <t>Segundos en pasar de la velocidad máxima a la de boost.</t>
  </si>
  <si>
    <t>boost_aceleracion</t>
  </si>
  <si>
    <t>Segundos sin usarlo antes de que empiece a recargarse.</t>
  </si>
  <si>
    <t>boost_espera</t>
  </si>
  <si>
    <t>Lo que se recarga cada segundo (con 2 %/s, de 0 a 100 % en 50 s).</t>
  </si>
  <si>
    <t>boost_recarga</t>
  </si>
  <si>
    <t>El del giro más cerrado a la velocidad máxima (medido en el juego; el de antes de la v24). Más despacio gira más cerrado; con boost, mucho más abierto.</t>
  </si>
  <si>
    <t>giro_radio</t>
  </si>
  <si>
    <t>Dragón del jugador. «Valor» sigue a la Base hasta que escribas otro número (su variación, en naranja).</t>
  </si>
  <si>
    <t>Diferencia</t>
  </si>
  <si>
    <t>Dragón enemigo</t>
  </si>
  <si>
    <t>Valores de ahora, pendientes de rediseñar.</t>
  </si>
  <si>
    <t>Vida y vuelo</t>
  </si>
  <si>
    <t/>
  </si>
  <si>
    <t>velocidad</t>
  </si>
  <si>
    <t>El del giro más cerrado a su velocidad máxima: cuanto más grande, más abiertos sus giros. Si es mayor que el tuyo (Base: 110 m), al perseguirlo puedes cerrar el giro y apuntarle (v26: 130; antes, unos 104 m).</t>
  </si>
  <si>
    <t>Distancia de detección</t>
  </si>
  <si>
    <t>A esta distancia te detecta y empieza sus pasadas.</t>
  </si>
  <si>
    <t>deteccion</t>
  </si>
  <si>
    <t>Distancia a la que te pierde</t>
  </si>
  <si>
    <t>perder</t>
  </si>
  <si>
    <t>Puntos al derribarlo</t>
  </si>
  <si>
    <t>Huida (cuando le persigues)</t>
  </si>
  <si>
    <t>Distancia a la que se siente perseguido</t>
  </si>
  <si>
    <t>Con el jugador detrás, apuntándole y más cerca que esto, huye hacia delante con maniobras amplias (eses, curvas abiertas, tirabuzón, subidas y picados).</t>
  </si>
  <si>
    <t>huida_distancia</t>
  </si>
  <si>
    <t>Tiempo de huida (mínimo)</t>
  </si>
  <si>
    <t>Pasado este tiempo (entre el mínimo y el máximo) da la vuelta con una curva abierta y vuelve a atacar.</t>
  </si>
  <si>
    <t>huida_min</t>
  </si>
  <si>
    <t>Tiempo de huida (máximo)</t>
  </si>
  <si>
    <t>huida_max</t>
  </si>
  <si>
    <t>Bola de fuego</t>
  </si>
  <si>
    <t>Daño bola de fuego</t>
  </si>
  <si>
    <t>bola_dano</t>
  </si>
  <si>
    <t>Alcance</t>
  </si>
  <si>
    <t>bola_alcance</t>
  </si>
  <si>
    <t>Pausa entre bolas (mínima)</t>
  </si>
  <si>
    <t>bola_pausa_min</t>
  </si>
  <si>
    <t>Pausa entre bolas (máxima)</t>
  </si>
  <si>
    <t>bola_pausa_max</t>
  </si>
  <si>
    <t>Error de puntería</t>
  </si>
  <si>
    <t>% de la distancia</t>
  </si>
  <si>
    <t>bola_error</t>
  </si>
  <si>
    <t>Bola guiada</t>
  </si>
  <si>
    <t>Daño bola guiada</t>
  </si>
  <si>
    <t>guiada_dano</t>
  </si>
  <si>
    <t>Segundos fijándote (aviso «TE ESTÁN FIJANDO») antes de lanzarla.</t>
  </si>
  <si>
    <t>guiada_fijado</t>
  </si>
  <si>
    <t>Distancia mínima de lanzamiento</t>
  </si>
  <si>
    <t>guiada_alcance_min</t>
  </si>
  <si>
    <t>Distancia máxima de lanzamiento</t>
  </si>
  <si>
    <t>guiada_alcance_max</t>
  </si>
  <si>
    <t>Pausa entre guiadas de un mismo dragón</t>
  </si>
  <si>
    <t>guiada_pausa</t>
  </si>
  <si>
    <t>Separación entre guiadas de todos</t>
  </si>
  <si>
    <t>Entre dos lanzamientos de dragones cualesquiera.</t>
  </si>
  <si>
    <t>guiada_separacion</t>
  </si>
  <si>
    <t>Velocidad máxima de la guiada</t>
  </si>
  <si>
    <t>guiada_vel</t>
  </si>
  <si>
    <t>Giro de la guiada</t>
  </si>
  <si>
    <t>°/s</t>
  </si>
  <si>
    <t>Cuanto menos, más fácil esquivarla rompiendo fuerte.</t>
  </si>
  <si>
    <t>guiada_giro</t>
  </si>
  <si>
    <t>Choques</t>
  </si>
  <si>
    <t>Daño que te hace al chocar</t>
  </si>
  <si>
    <t>choque_dano</t>
  </si>
  <si>
    <t>Daño que recibe al chocar</t>
  </si>
  <si>
    <t>choque_recibe</t>
  </si>
  <si>
    <t>Torre</t>
  </si>
  <si>
    <t>Vida</t>
  </si>
  <si>
    <t>Puntos al destruirla</t>
  </si>
  <si>
    <t>Un disparo guiado la destruye siempre</t>
  </si>
  <si>
    <t>1 = sí, 0 = no</t>
  </si>
  <si>
    <t>Con 1, una guiada la tira aunque haga menos daño que su vida.</t>
  </si>
  <si>
    <t>guiada_destruye</t>
  </si>
  <si>
    <t>Fuego antiaéreo</t>
  </si>
  <si>
    <t>Daño por proyectil</t>
  </si>
  <si>
    <t>aa_dano</t>
  </si>
  <si>
    <t>aa_alcance</t>
  </si>
  <si>
    <t>Proyectiles por ráfaga</t>
  </si>
  <si>
    <t>aa_rafaga</t>
  </si>
  <si>
    <t>Pausa entre disparos de la ráfaga</t>
  </si>
  <si>
    <t>aa_cadencia</t>
  </si>
  <si>
    <t>Pausa entre ráfagas (mínima)</t>
  </si>
  <si>
    <t>aa_pausa_min</t>
  </si>
  <si>
    <t>Pausa entre ráfagas (máxima)</t>
  </si>
  <si>
    <t>aa_pausa_max</t>
  </si>
  <si>
    <t>Velocidad del proyectil</t>
  </si>
  <si>
    <t>m/s</t>
  </si>
  <si>
    <t>aa_vel</t>
  </si>
  <si>
    <t>Dispersión</t>
  </si>
  <si>
    <t>°</t>
  </si>
  <si>
    <t>aa_dispersion</t>
  </si>
  <si>
    <t>Dirigible</t>
  </si>
  <si>
    <t>Puntos al destruirlo</t>
  </si>
  <si>
    <t>Cañones (solo por los costados)</t>
  </si>
  <si>
    <t>dano</t>
  </si>
  <si>
    <t>alcance</t>
  </si>
  <si>
    <t>Pausa entre disparos</t>
  </si>
  <si>
    <t>Disparan sin pausas entre ráfagas.</t>
  </si>
  <si>
    <t>cadencia</t>
  </si>
  <si>
    <t>vel</t>
  </si>
  <si>
    <t>dispersion</t>
  </si>
  <si>
    <t>Ángulo muerto a proa y a popa</t>
  </si>
  <si>
    <t>Medido desde el eje del barco: ahí no pueden apuntarte.</t>
  </si>
  <si>
    <t>muerto_proa</t>
  </si>
  <si>
    <t>Elevación máxima de los cañones</t>
  </si>
  <si>
    <t>Más arriba o más abajo no pueden apuntarte.</t>
  </si>
  <si>
    <t>muerto_vertical</t>
  </si>
  <si>
    <t>Artillería</t>
  </si>
  <si>
    <t>Nueva (v29): balistas, catapultas y cañones, la defensa terrestre móvil. Valores provisionales.</t>
  </si>
  <si>
    <t>Balista, catapulta y cañón son iguales: solo cambia el aspecto (y el aspecto del proyectil).</t>
  </si>
  <si>
    <t>Tamaño y movimiento</t>
  </si>
  <si>
    <t>Largo</t>
  </si>
  <si>
    <t>Tamaño en el juego: los tres modelos se escalan a este largo.</t>
  </si>
  <si>
    <t>largo</t>
  </si>
  <si>
    <t>Velocidad</t>
  </si>
  <si>
    <t>Unidad de tierra lenta. Aún sin uso: en la galería están quietas (llegará con las misiones).</t>
  </si>
  <si>
    <t>Disparo (muy de vez en cuando)</t>
  </si>
  <si>
    <t>Anecdótico: en las misiones su papel será atacar a las unidades de tierra aliadas.</t>
  </si>
  <si>
    <t>Pausa entre disparos (mínima)</t>
  </si>
  <si>
    <t>pausa_min</t>
  </si>
  <si>
    <t>Pausa entre disparos (máxima)</t>
  </si>
  <si>
    <t>pausa_max</t>
  </si>
  <si>
    <t>Con parábola: la gravedad lo hace caer (apuntan con adelanto).</t>
  </si>
  <si>
    <t>Batallón</t>
  </si>
  <si>
    <t>Nueva (v29): bloques de soldados, el objetivo de la llamarada a ras de tierra. Valores provisionales.</t>
  </si>
  <si>
    <t>Soldados</t>
  </si>
  <si>
    <t>Soldados por batallón (mínimo)</t>
  </si>
  <si>
    <t>soldados</t>
  </si>
  <si>
    <t>Cada bloque sale con un número al azar entre el mínimo y el máximo (la receta puede fijarlo).</t>
  </si>
  <si>
    <t>soldados_min</t>
  </si>
  <si>
    <t>Soldados por batallón (máximo)</t>
  </si>
  <si>
    <t>soldados_max</t>
  </si>
  <si>
    <t>Separación entre soldados</t>
  </si>
  <si>
    <t>En la formación rectangular. Se nota al empezar otra partida o al restaurar la galería.</t>
  </si>
  <si>
    <t>separacion</t>
  </si>
  <si>
    <t>Vida de cada soldado</t>
  </si>
  <si>
    <t>Con la llamarada (15/s) arden casi al instante.</t>
  </si>
  <si>
    <t>Puntos por soldado</t>
  </si>
  <si>
    <t>puntos_soldado</t>
  </si>
  <si>
    <t>Puntos al aniquilar el batallón</t>
  </si>
  <si>
    <t>Además de los de cada soldado.</t>
  </si>
  <si>
    <t>Velocidad de marcha</t>
  </si>
  <si>
    <t>Aún sin uso: en la galería están quietos.</t>
  </si>
  <si>
    <t>Daño que reciben</t>
  </si>
  <si>
    <t>Radio extra de la llamarada</t>
  </si>
  <si>
    <t>Se suma al cono de la llamarada (2 m + un 11 % de la distancia).</t>
  </si>
  <si>
    <t>radio_llamas</t>
  </si>
  <si>
    <t>Radio del disparo básico</t>
  </si>
  <si>
    <t>Mueren los soldados a menos de esto del impacto.</t>
  </si>
  <si>
    <t>radio_basico</t>
  </si>
  <si>
    <t>Radio del disparo guiado</t>
  </si>
  <si>
    <t>radio_guiado</t>
  </si>
  <si>
    <t>Radio del rayo láser</t>
  </si>
  <si>
    <t>radio_rayo</t>
  </si>
  <si>
    <t>Flechas (sobre todo un efecto)</t>
  </si>
  <si>
    <t>Disparan cuando pasas a menos de esto.</t>
  </si>
  <si>
    <t>flechas_alcance</t>
  </si>
  <si>
    <t>Flechas por andanada</t>
  </si>
  <si>
    <t>flechas</t>
  </si>
  <si>
    <t>Con el batallón entero (con menos soldados, menos flechas).</t>
  </si>
  <si>
    <t>flechas_andanada</t>
  </si>
  <si>
    <t>Pausa entre andanadas</t>
  </si>
  <si>
    <t>flechas_pausa</t>
  </si>
  <si>
    <t>Velocidad de las flechas</t>
  </si>
  <si>
    <t>Con parábola.</t>
  </si>
  <si>
    <t>flechas_vel</t>
  </si>
  <si>
    <t>flechas_dispersion</t>
  </si>
  <si>
    <t>Daño por flecha</t>
  </si>
  <si>
    <t>Despreciable, a propósito (en hover justo encima, ~1 punto por segundo).</t>
  </si>
  <si>
    <t>flechas_dano</t>
  </si>
  <si>
    <t>Barco naval</t>
  </si>
  <si>
    <t>Nueva (v29): barcos en el mar, como los dirigibles. Valores provisionales.</t>
  </si>
  <si>
    <t>Como los dirigibles: un disparo guiado (60) lo hunde.</t>
  </si>
  <si>
    <t>Puntos al hundirlo</t>
  </si>
  <si>
    <t>Eslora</t>
  </si>
  <si>
    <t>Cañones (solo por los costados, como los dirigibles)</t>
  </si>
  <si>
    <t>Superdirigible</t>
  </si>
  <si>
    <t>Nueva (v29): megaestructura del cielo con torretas que se destruyen aparte. Valores provisionales.</t>
  </si>
  <si>
    <t>Núcleo (el casco)</t>
  </si>
  <si>
    <t>Puntos de vida del núcleo</t>
  </si>
  <si>
    <t>Se puede dañar aunque queden torretas; al caer, caen todas.</t>
  </si>
  <si>
    <t>Jorge: 500 m como mínimo (v29) y luego el doble (v30). Las torretas no cambian de tamaño: quedan más separadas.</t>
  </si>
  <si>
    <t>Altura mínima de vuelo</t>
  </si>
  <si>
    <t>Sobre el suelo. La receta puede ponerlo más alto, nunca más bajo.</t>
  </si>
  <si>
    <t>altura_min</t>
  </si>
  <si>
    <t>Aún sin uso: en la galería está quieto.</t>
  </si>
  <si>
    <t>Torretas (cañones y balistas sobre la cubierta)</t>
  </si>
  <si>
    <t>Torretas por costado</t>
  </si>
  <si>
    <t>torretas</t>
  </si>
  <si>
    <t>Alternan cañón y balista; se fijan y se destruyen una a una (como mucho 6).</t>
  </si>
  <si>
    <t>Vida de cada torreta</t>
  </si>
  <si>
    <t>torreta_vida</t>
  </si>
  <si>
    <t>Puntos por torreta</t>
  </si>
  <si>
    <t>torreta_puntos</t>
  </si>
  <si>
    <t>Tamaño de cada torreta</t>
  </si>
  <si>
    <t>torreta_largo</t>
  </si>
  <si>
    <t>Pausa entre disparos de cada torreta</t>
  </si>
  <si>
    <t>Cada torreta dispara por su cuenta, solo hacia su costado.</t>
  </si>
  <si>
    <t>torreta_cadencia</t>
  </si>
  <si>
    <t>Como los cañones de los dirigibles.</t>
  </si>
  <si>
    <t>Como los dirigibles: medido desde el eje del casco.</t>
  </si>
  <si>
    <t>Elevación máxima</t>
  </si>
  <si>
    <t>Sierpe</t>
  </si>
  <si>
    <t>Nueva (v29): dragón serpiente gigante (minijefe) con hechiceros que la escudan. Valores provisionales.</t>
  </si>
  <si>
    <t>Vida y tamaño</t>
  </si>
  <si>
    <t>Solo recibe daño cuando cae su escudo.</t>
  </si>
  <si>
    <t>Puntos al abatirla</t>
  </si>
  <si>
    <t>Altura de vuelo</t>
  </si>
  <si>
    <t>Sobre el suelo, si la receta no dice otra.</t>
  </si>
  <si>
    <t>altura</t>
  </si>
  <si>
    <t>Radio del círculo</t>
  </si>
  <si>
    <t>En vuelo circular: su patrulla (en la galería, sobre todo el campo).</t>
  </si>
  <si>
    <t>radio_circulo</t>
  </si>
  <si>
    <t>En vuelo circular.</t>
  </si>
  <si>
    <t>Llamarada (si te pones delante de la cabeza)</t>
  </si>
  <si>
    <t>Daño</t>
  </si>
  <si>
    <t>Ángulo para empezarla</t>
  </si>
  <si>
    <t>Te tiene que tener delante de la cabeza, a menos de este ángulo.</t>
  </si>
  <si>
    <t>llamas_angulo</t>
  </si>
  <si>
    <t>Duración</t>
  </si>
  <si>
    <t>llamas_duracion</t>
  </si>
  <si>
    <t>Pausa entre llamaradas</t>
  </si>
  <si>
    <t>llamas_pausa</t>
  </si>
  <si>
    <t>Bolas de fuego (como los dragones enemigos)</t>
  </si>
  <si>
    <t>Hechiceros y escudo</t>
  </si>
  <si>
    <t>Hechiceros en el lomo</t>
  </si>
  <si>
    <t>hechiceros</t>
  </si>
  <si>
    <t>Mientras quede alguno, el escudo la protege de todo daño (como mucho 3).</t>
  </si>
  <si>
    <t>Vida de cada hechicero</t>
  </si>
  <si>
    <t>hechicero_vida</t>
  </si>
  <si>
    <t>Puntos por hechicero</t>
  </si>
  <si>
    <t>hechicero_puntos</t>
  </si>
  <si>
    <t>Lance (aliado)</t>
  </si>
  <si>
    <t>Compañero de escuadrón con IA (Misión 1). Valores de ahora, pendientes de rediseñar.</t>
  </si>
  <si>
    <t>Armas (solo disparo básico y lanzallamas)</t>
  </si>
  <si>
    <t>basico_pausa_min</t>
  </si>
  <si>
    <t>basico_pausa_max</t>
  </si>
  <si>
    <t>Alcance de tiro</t>
  </si>
  <si>
    <t>basico_alcance</t>
  </si>
  <si>
    <t>basico_error</t>
  </si>
  <si>
    <t>El de antes de la v24 (el tuyo baja a 15).</t>
  </si>
  <si>
    <t>Vuelo y combate</t>
  </si>
  <si>
    <t>Para alcanzarte en formación; en combate vuela como los dragones enemigos.</t>
  </si>
  <si>
    <t>Distancia para entrar en combate</t>
  </si>
  <si>
    <t>Con un enemigo a menos de esto (de ti o de él), deja la formación y ataca.</t>
  </si>
  <si>
    <t>combate_distancia</t>
  </si>
  <si>
    <t>Distancia de protección</t>
  </si>
  <si>
    <t>Dragones que van a por ti a menos de esto: los que Lance prefiere atacar.</t>
  </si>
  <si>
    <t>proteger_dist</t>
  </si>
  <si>
    <t>Probabilidad de protegerte</t>
  </si>
  <si>
    <t>Al cambiar de blanco, elige a uno de esos dragones con esta probabilidad.</t>
  </si>
  <si>
    <t>proteger_prob</t>
  </si>
  <si>
    <t>Distancia de protección urgente</t>
  </si>
  <si>
    <t>Un dragón que va a por ti a menos de esto: Lance va a por él al momento.</t>
  </si>
  <si>
    <t>proteger_urgente</t>
  </si>
  <si>
    <t>Tiempo con el mismo blanco (mínimo)</t>
  </si>
  <si>
    <t>blanco_min</t>
  </si>
  <si>
    <t>Tiempo con el mismo blanco (máximo)</t>
  </si>
  <si>
    <t>blanco_max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</si>
</sst>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+0%;-0%;&quot;=&quot;"/>
  </numFmts>
  <fonts count="11" x14ac:knownFonts="1">
    <font>
      <color theme="1"/>
      <family val="2"/>
      <scheme val="minor"/>
      <sz val="11"/>
      <name val="Calibri"/>
    </font>
    <font>
      <b/>
      <color rgb="FF2B2118"/>
      <sz val="18"/>
      <name val="Calibri"/>
    </font>
    <font>
      <color rgb="FF2B2118"/>
      <sz val="11"/>
      <name val="Calibri"/>
    </font>
    <font>
      <b/>
      <color rgb="FFC0501A"/>
      <sz val="12"/>
      <name val="Calibri"/>
    </font>
    <font>
      <i/>
      <color rgb="FF8A7F74"/>
      <sz val="11"/>
      <name val="Calibri"/>
    </font>
    <font>
      <b/>
      <color rgb="FF2B2118"/>
      <sz val="11"/>
      <name val="Calibri"/>
    </font>
    <font>
      <b/>
      <color rgb="FFF2B84B"/>
      <sz val="11"/>
      <name val="Calibri"/>
    </font>
    <font>
      <color rgb="FF8A7F74"/>
      <sz val="11"/>
      <name val="Calibri"/>
    </font>
    <font>
      <b/>
      <color rgb="FF8A7F74"/>
      <sz val="11"/>
      <name val="Calibri"/>
    </font>
    <font>
      <color rgb="FF5A4E44"/>
      <sz val="10"/>
      <name val="Calibri"/>
    </font>
    <font>
      <color rgb="FFB9B0A6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FE6D8"/>
      </patternFill>
    </fill>
    <fill>
      <patternFill patternType="solid">
        <fgColor rgb="FF3A2A20"/>
      </patternFill>
    </fill>
    <fill>
      <patternFill patternType="solid">
        <fgColor rgb="FFFFF4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CFC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6" fillId="3" borderId="0" xfId="0" applyFont="1" applyFill="1"/>
    <xf numFmtId="0" fontId="2" fillId="0" borderId="1" xfId="0" applyFont="1" applyBorder="1"/>
    <xf numFmtId="0" fontId="7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0" fontId="8" fillId="2" borderId="1" xfId="0" applyFont="1" applyFill="1" applyBorder="1"/>
    <xf numFmtId="0" fontId="5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/>
    <xf numFmtId="164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5">
    <dxf>
      <font>
        <b/>
        <color rgb="FFC0501A"/>
      </font>
      <fill>
        <patternFill patternType="solid">
          <fgColor rgb="FFFFE3CC"/>
        </patternFill>
      </fill>
    </dxf>
    <dxf>
      <font>
        <b/>
        <color rgb="FFC0501A"/>
      </font>
      <fill>
        <patternFill patternType="solid">
          <fgColor rgb="FFFFE3CC"/>
        </patternFill>
      </fill>
    </dxf>
    <dxf>
      <font>
        <b/>
        <color rgb="FFC0501A"/>
      </font>
      <fill>
        <patternFill patternType="solid">
          <fgColor rgb="FFFFE3CC"/>
        </patternFill>
      </fill>
    </dxf>
    <dxf>
      <font>
        <b/>
        <color rgb="FFC0501A"/>
      </font>
      <fill>
        <patternFill patternType="solid">
          <fgColor rgb="FFFFE3CC"/>
        </patternFill>
      </fill>
    </dxf>
    <dxf>
      <font>
        <b/>
        <color rgb="FFC0501A"/>
      </font>
      <fill>
        <patternFill patternType="solid">
          <fgColor rgb="FFFFE3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B84B"/>
  </sheetPr>
  <dimension ref="B2:B22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2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ht="24" customHeight="1" spans="2:2" x14ac:dyDescent="0.25">
      <c r="B4" s="3" t="s">
        <v>2</v>
      </c>
    </row>
    <row r="5" spans="2:2" x14ac:dyDescent="0.25">
      <c r="B5" s="2" t="s">
        <v>3</v>
      </c>
    </row>
    <row r="6" spans="2:2" x14ac:dyDescent="0.25">
      <c r="B6" s="2" t="s">
        <v>4</v>
      </c>
    </row>
    <row r="7" spans="2:2" x14ac:dyDescent="0.25">
      <c r="B7" s="2" t="s">
        <v>5</v>
      </c>
    </row>
    <row r="8" spans="2:2" x14ac:dyDescent="0.25">
      <c r="B8" s="2" t="s">
        <v>6</v>
      </c>
    </row>
    <row r="9" spans="2:2" x14ac:dyDescent="0.25">
      <c r="B9" s="2" t="s">
        <v>7</v>
      </c>
    </row>
    <row r="10" spans="2:2" x14ac:dyDescent="0.25">
      <c r="B10" s="2" t="s">
        <v>8</v>
      </c>
    </row>
    <row r="11" spans="2:2" x14ac:dyDescent="0.25">
      <c r="B11" s="2" t="s">
        <v>9</v>
      </c>
    </row>
    <row r="12" spans="2:2" x14ac:dyDescent="0.25">
      <c r="B12" s="2" t="s">
        <v>10</v>
      </c>
    </row>
    <row r="13" ht="24" customHeight="1" spans="2:2" x14ac:dyDescent="0.25">
      <c r="B13" s="3" t="s">
        <v>11</v>
      </c>
    </row>
    <row r="14" spans="2:2" x14ac:dyDescent="0.25">
      <c r="B14" s="2" t="s">
        <v>12</v>
      </c>
    </row>
    <row r="15" spans="2:2" x14ac:dyDescent="0.25">
      <c r="B15" s="2" t="s">
        <v>13</v>
      </c>
    </row>
    <row r="16" ht="24" customHeight="1" spans="2:2" x14ac:dyDescent="0.25">
      <c r="B16" s="3" t="s">
        <v>14</v>
      </c>
    </row>
    <row r="17" spans="2:2" x14ac:dyDescent="0.25">
      <c r="B17" s="2" t="s">
        <v>15</v>
      </c>
    </row>
    <row r="18" spans="2:2" x14ac:dyDescent="0.25">
      <c r="B18" s="2" t="s">
        <v>16</v>
      </c>
    </row>
    <row r="19" spans="2:2" x14ac:dyDescent="0.25">
      <c r="B19" s="2" t="s">
        <v>17</v>
      </c>
    </row>
    <row r="20" spans="2:2" x14ac:dyDescent="0.25">
      <c r="B20" s="2" t="s">
        <v>18</v>
      </c>
    </row>
    <row r="21" ht="24" customHeight="1" spans="2:2" x14ac:dyDescent="0.25">
      <c r="B21" s="3" t="s">
        <v>19</v>
      </c>
    </row>
    <row r="22" spans="2:2" x14ac:dyDescent="0.25">
      <c r="B22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6A5A"/>
  </sheetPr>
  <dimension ref="A1:G43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2" width="14" customWidth="1"/>
    <col min="3" max="7" width="15" customWidth="1"/>
  </cols>
  <sheetData>
    <row r="1" ht="28" customHeight="1" spans="1:7" x14ac:dyDescent="0.25">
      <c r="A1" s="4" t="s">
        <v>21</v>
      </c>
      <c r="B1" s="4"/>
      <c r="C1" s="4"/>
      <c r="D1" s="4"/>
      <c r="E1" s="4"/>
      <c r="F1" s="4"/>
      <c r="G1" s="4"/>
    </row>
    <row r="2" spans="1:7" x14ac:dyDescent="0.25">
      <c r="A2" s="5" t="s">
        <v>22</v>
      </c>
      <c r="B2" s="5"/>
      <c r="C2" s="5"/>
      <c r="D2" s="5"/>
      <c r="E2" s="5"/>
      <c r="F2" s="5"/>
      <c r="G2" s="5"/>
    </row>
    <row r="4" spans="1:7" x14ac:dyDescent="0.25">
      <c r="A4" s="6" t="s">
        <v>23</v>
      </c>
      <c r="B4" s="6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</row>
    <row r="5" ht="20" customHeight="1" spans="1:7" x14ac:dyDescent="0.25">
      <c r="A5" s="8" t="s">
        <v>30</v>
      </c>
      <c r="B5" s="8"/>
      <c r="C5" s="8"/>
      <c r="D5" s="8"/>
      <c r="E5" s="8"/>
      <c r="F5" s="8"/>
      <c r="G5" s="8"/>
    </row>
    <row r="6" spans="1:7" x14ac:dyDescent="0.25">
      <c r="A6" s="9" t="s">
        <v>31</v>
      </c>
      <c r="B6" s="10" t="s">
        <v>32</v>
      </c>
      <c r="C6" s="11">
        <f>Base!B6</f>
        <v>100</v>
      </c>
      <c r="D6" s="12">
        <f>'Alientormenta'!B6</f>
        <v>100</v>
      </c>
      <c r="E6" s="12">
        <f>'Abrasanubes'!B6</f>
        <v>100</v>
      </c>
      <c r="F6" s="12">
        <f>'Ventoscuro'!B6</f>
        <v>100</v>
      </c>
      <c r="G6" s="12">
        <f>'Fulgor'!B6</f>
        <v>100</v>
      </c>
    </row>
    <row r="7" spans="1:7" x14ac:dyDescent="0.25">
      <c r="A7" s="9" t="s">
        <v>33</v>
      </c>
      <c r="B7" s="10" t="s">
        <v>32</v>
      </c>
      <c r="C7" s="11">
        <f>Base!B7</f>
        <v>50</v>
      </c>
      <c r="D7" s="12">
        <f>'Alientormenta'!B7</f>
        <v>50</v>
      </c>
      <c r="E7" s="12">
        <f>'Abrasanubes'!B7</f>
        <v>50</v>
      </c>
      <c r="F7" s="12">
        <f>'Ventoscuro'!B7</f>
        <v>50</v>
      </c>
      <c r="G7" s="12">
        <f>'Fulgor'!B7</f>
        <v>50</v>
      </c>
    </row>
    <row r="8" spans="1:7" x14ac:dyDescent="0.25">
      <c r="A8" s="9" t="s">
        <v>34</v>
      </c>
      <c r="B8" s="10" t="s">
        <v>35</v>
      </c>
      <c r="C8" s="11">
        <f>Base!B8</f>
        <v>5</v>
      </c>
      <c r="D8" s="12">
        <f>'Alientormenta'!B8</f>
        <v>5</v>
      </c>
      <c r="E8" s="12">
        <f>'Abrasanubes'!B8</f>
        <v>5</v>
      </c>
      <c r="F8" s="12">
        <f>'Ventoscuro'!B8</f>
        <v>5</v>
      </c>
      <c r="G8" s="12">
        <f>'Fulgor'!B8</f>
        <v>5</v>
      </c>
    </row>
    <row r="9" spans="1:7" x14ac:dyDescent="0.25">
      <c r="A9" s="9" t="s">
        <v>36</v>
      </c>
      <c r="B9" s="10" t="s">
        <v>37</v>
      </c>
      <c r="C9" s="11">
        <f>Base!B9</f>
        <v>5</v>
      </c>
      <c r="D9" s="12">
        <f>'Alientormenta'!B9</f>
        <v>5</v>
      </c>
      <c r="E9" s="12">
        <f>'Abrasanubes'!B9</f>
        <v>5</v>
      </c>
      <c r="F9" s="12">
        <f>'Ventoscuro'!B9</f>
        <v>5</v>
      </c>
      <c r="G9" s="12">
        <f>'Fulgor'!B9</f>
        <v>5</v>
      </c>
    </row>
    <row r="10" spans="1:7" x14ac:dyDescent="0.25">
      <c r="A10" s="9" t="s">
        <v>38</v>
      </c>
      <c r="B10" s="10" t="s">
        <v>39</v>
      </c>
      <c r="C10" s="11">
        <f>Base!B10</f>
        <v>2</v>
      </c>
      <c r="D10" s="12">
        <f>'Alientormenta'!B10</f>
        <v>2</v>
      </c>
      <c r="E10" s="12">
        <f>'Abrasanubes'!B10</f>
        <v>2</v>
      </c>
      <c r="F10" s="12">
        <f>'Ventoscuro'!B10</f>
        <v>2</v>
      </c>
      <c r="G10" s="12">
        <f>'Fulgor'!B10</f>
        <v>2</v>
      </c>
    </row>
    <row r="11" spans="1:7" x14ac:dyDescent="0.25">
      <c r="A11" s="13" t="s">
        <v>40</v>
      </c>
      <c r="B11" s="10" t="s">
        <v>35</v>
      </c>
      <c r="C11" s="11">
        <f>Base!B11</f>
        <v>5</v>
      </c>
      <c r="D11" s="12">
        <f>'Alientormenta'!B11</f>
        <v>5</v>
      </c>
      <c r="E11" s="12">
        <f>'Abrasanubes'!B11</f>
        <v>5</v>
      </c>
      <c r="F11" s="12">
        <f>'Ventoscuro'!B11</f>
        <v>5</v>
      </c>
      <c r="G11" s="12">
        <f>'Fulgor'!B11</f>
        <v>5</v>
      </c>
    </row>
    <row r="12" spans="1:7" x14ac:dyDescent="0.25">
      <c r="A12" s="13" t="s">
        <v>41</v>
      </c>
      <c r="B12" s="10" t="s">
        <v>39</v>
      </c>
      <c r="C12" s="11">
        <f>Base!B12</f>
        <v>1</v>
      </c>
      <c r="D12" s="12">
        <f>'Alientormenta'!B12</f>
        <v>1</v>
      </c>
      <c r="E12" s="12">
        <f>'Abrasanubes'!B12</f>
        <v>1</v>
      </c>
      <c r="F12" s="12">
        <f>'Ventoscuro'!B12</f>
        <v>1</v>
      </c>
      <c r="G12" s="12">
        <f>'Fulgor'!B12</f>
        <v>1</v>
      </c>
    </row>
    <row r="13" ht="20" customHeight="1" spans="1:7" x14ac:dyDescent="0.25">
      <c r="A13" s="8" t="s">
        <v>42</v>
      </c>
      <c r="B13" s="8"/>
      <c r="C13" s="8"/>
      <c r="D13" s="8"/>
      <c r="E13" s="8"/>
      <c r="F13" s="8"/>
      <c r="G13" s="8"/>
    </row>
    <row r="14" spans="1:7" x14ac:dyDescent="0.25">
      <c r="A14" s="9" t="s">
        <v>43</v>
      </c>
      <c r="B14" s="10" t="s">
        <v>32</v>
      </c>
      <c r="C14" s="11">
        <f>Base!B14</f>
        <v>5</v>
      </c>
      <c r="D14" s="12">
        <f>'Alientormenta'!B14</f>
        <v>5</v>
      </c>
      <c r="E14" s="12">
        <f>'Abrasanubes'!B14</f>
        <v>5</v>
      </c>
      <c r="F14" s="12">
        <f>'Ventoscuro'!B14</f>
        <v>5</v>
      </c>
      <c r="G14" s="12">
        <f>'Fulgor'!B14</f>
        <v>5</v>
      </c>
    </row>
    <row r="15" spans="1:7" x14ac:dyDescent="0.25">
      <c r="A15" s="9" t="s">
        <v>44</v>
      </c>
      <c r="B15" s="10" t="s">
        <v>45</v>
      </c>
      <c r="C15" s="11">
        <f>Base!B15</f>
        <v>20</v>
      </c>
      <c r="D15" s="12">
        <f>'Alientormenta'!B15</f>
        <v>20</v>
      </c>
      <c r="E15" s="12">
        <f>'Abrasanubes'!B15</f>
        <v>20</v>
      </c>
      <c r="F15" s="12">
        <f>'Ventoscuro'!B15</f>
        <v>20</v>
      </c>
      <c r="G15" s="12">
        <f>'Fulgor'!B15</f>
        <v>20</v>
      </c>
    </row>
    <row r="16" spans="1:7" x14ac:dyDescent="0.25">
      <c r="A16" s="13" t="s">
        <v>46</v>
      </c>
      <c r="B16" s="10" t="s">
        <v>35</v>
      </c>
      <c r="C16" s="11">
        <f>Base!B16</f>
        <v>0.1</v>
      </c>
      <c r="D16" s="12">
        <f>'Alientormenta'!B16</f>
        <v>0.1</v>
      </c>
      <c r="E16" s="12">
        <f>'Abrasanubes'!B16</f>
        <v>0.1</v>
      </c>
      <c r="F16" s="12">
        <f>'Ventoscuro'!B16</f>
        <v>0.1</v>
      </c>
      <c r="G16" s="12">
        <f>'Fulgor'!B16</f>
        <v>0.1</v>
      </c>
    </row>
    <row r="17" spans="1:7" x14ac:dyDescent="0.25">
      <c r="A17" s="13" t="s">
        <v>47</v>
      </c>
      <c r="B17" s="10" t="s">
        <v>35</v>
      </c>
      <c r="C17" s="11">
        <f>Base!B17</f>
        <v>1</v>
      </c>
      <c r="D17" s="12">
        <f>'Alientormenta'!B17</f>
        <v>1</v>
      </c>
      <c r="E17" s="12">
        <f>'Abrasanubes'!B17</f>
        <v>1</v>
      </c>
      <c r="F17" s="12">
        <f>'Ventoscuro'!B17</f>
        <v>1</v>
      </c>
      <c r="G17" s="12">
        <f>'Fulgor'!B17</f>
        <v>1</v>
      </c>
    </row>
    <row r="18" spans="1:7" x14ac:dyDescent="0.25">
      <c r="A18" s="13" t="s">
        <v>48</v>
      </c>
      <c r="B18" s="10" t="s">
        <v>49</v>
      </c>
      <c r="C18" s="11">
        <f>Base!B18</f>
        <v>8</v>
      </c>
      <c r="D18" s="12">
        <f>'Alientormenta'!B18</f>
        <v>8</v>
      </c>
      <c r="E18" s="12">
        <f>'Abrasanubes'!B18</f>
        <v>8</v>
      </c>
      <c r="F18" s="12">
        <f>'Ventoscuro'!B18</f>
        <v>8</v>
      </c>
      <c r="G18" s="12">
        <f>'Fulgor'!B18</f>
        <v>8</v>
      </c>
    </row>
    <row r="19" ht="20" customHeight="1" spans="1:7" x14ac:dyDescent="0.25">
      <c r="A19" s="8" t="s">
        <v>50</v>
      </c>
      <c r="B19" s="8"/>
      <c r="C19" s="8"/>
      <c r="D19" s="8"/>
      <c r="E19" s="8"/>
      <c r="F19" s="8"/>
      <c r="G19" s="8"/>
    </row>
    <row r="20" spans="1:7" x14ac:dyDescent="0.25">
      <c r="A20" s="9" t="s">
        <v>51</v>
      </c>
      <c r="B20" s="10" t="s">
        <v>32</v>
      </c>
      <c r="C20" s="11">
        <f>Base!B20</f>
        <v>60</v>
      </c>
      <c r="D20" s="12">
        <f>'Alientormenta'!B20</f>
        <v>60</v>
      </c>
      <c r="E20" s="12">
        <f>'Abrasanubes'!B20</f>
        <v>60</v>
      </c>
      <c r="F20" s="12">
        <f>'Ventoscuro'!B20</f>
        <v>60</v>
      </c>
      <c r="G20" s="12">
        <f>'Fulgor'!B20</f>
        <v>60</v>
      </c>
    </row>
    <row r="21" spans="1:7" x14ac:dyDescent="0.25">
      <c r="A21" s="9" t="s">
        <v>52</v>
      </c>
      <c r="B21" s="10" t="s">
        <v>45</v>
      </c>
      <c r="C21" s="11">
        <f>Base!B21</f>
        <v>20</v>
      </c>
      <c r="D21" s="12">
        <f>'Alientormenta'!B21</f>
        <v>20</v>
      </c>
      <c r="E21" s="12">
        <f>'Abrasanubes'!B21</f>
        <v>20</v>
      </c>
      <c r="F21" s="12">
        <f>'Ventoscuro'!B21</f>
        <v>20</v>
      </c>
      <c r="G21" s="12">
        <f>'Fulgor'!B21</f>
        <v>20</v>
      </c>
    </row>
    <row r="22" spans="1:7" x14ac:dyDescent="0.25">
      <c r="A22" s="13" t="s">
        <v>53</v>
      </c>
      <c r="B22" s="10" t="s">
        <v>54</v>
      </c>
      <c r="C22" s="11">
        <f>Base!B22</f>
        <v>3000</v>
      </c>
      <c r="D22" s="12">
        <f>'Alientormenta'!B22</f>
        <v>3000</v>
      </c>
      <c r="E22" s="12">
        <f>'Abrasanubes'!B22</f>
        <v>3000</v>
      </c>
      <c r="F22" s="12">
        <f>'Ventoscuro'!B22</f>
        <v>3000</v>
      </c>
      <c r="G22" s="12">
        <f>'Fulgor'!B22</f>
        <v>3000</v>
      </c>
    </row>
    <row r="23" spans="1:7" x14ac:dyDescent="0.25">
      <c r="A23" s="13" t="s">
        <v>55</v>
      </c>
      <c r="B23" s="10" t="s">
        <v>35</v>
      </c>
      <c r="C23" s="11">
        <f>Base!B23</f>
        <v>2</v>
      </c>
      <c r="D23" s="12">
        <f>'Alientormenta'!B23</f>
        <v>2</v>
      </c>
      <c r="E23" s="12">
        <f>'Abrasanubes'!B23</f>
        <v>2</v>
      </c>
      <c r="F23" s="12">
        <f>'Ventoscuro'!B23</f>
        <v>2</v>
      </c>
      <c r="G23" s="12">
        <f>'Fulgor'!B23</f>
        <v>2</v>
      </c>
    </row>
    <row r="24" ht="20" customHeight="1" spans="1:7" x14ac:dyDescent="0.25">
      <c r="A24" s="8" t="s">
        <v>56</v>
      </c>
      <c r="B24" s="8"/>
      <c r="C24" s="8"/>
      <c r="D24" s="8"/>
      <c r="E24" s="8"/>
      <c r="F24" s="8"/>
      <c r="G24" s="8"/>
    </row>
    <row r="25" spans="1:7" x14ac:dyDescent="0.25">
      <c r="A25" s="9" t="s">
        <v>57</v>
      </c>
      <c r="B25" s="10" t="s">
        <v>37</v>
      </c>
      <c r="C25" s="11">
        <f>Base!B25</f>
        <v>15</v>
      </c>
      <c r="D25" s="12">
        <f>'Alientormenta'!B25</f>
        <v>15</v>
      </c>
      <c r="E25" s="12">
        <f>'Abrasanubes'!B25</f>
        <v>15</v>
      </c>
      <c r="F25" s="12">
        <f>'Ventoscuro'!B25</f>
        <v>15</v>
      </c>
      <c r="G25" s="12">
        <f>'Fulgor'!B25</f>
        <v>15</v>
      </c>
    </row>
    <row r="26" spans="1:7" x14ac:dyDescent="0.25">
      <c r="A26" s="9" t="s">
        <v>58</v>
      </c>
      <c r="B26" s="10" t="s">
        <v>54</v>
      </c>
      <c r="C26" s="11">
        <f>Base!B26</f>
        <v>300</v>
      </c>
      <c r="D26" s="12">
        <f>'Alientormenta'!B26</f>
        <v>300</v>
      </c>
      <c r="E26" s="12">
        <f>'Abrasanubes'!B26</f>
        <v>300</v>
      </c>
      <c r="F26" s="12">
        <f>'Ventoscuro'!B26</f>
        <v>300</v>
      </c>
      <c r="G26" s="12">
        <f>'Fulgor'!B26</f>
        <v>300</v>
      </c>
    </row>
    <row r="27" spans="1:7" x14ac:dyDescent="0.25">
      <c r="A27" s="9" t="s">
        <v>59</v>
      </c>
      <c r="B27" s="10" t="s">
        <v>35</v>
      </c>
      <c r="C27" s="11">
        <f>Base!B27</f>
        <v>5</v>
      </c>
      <c r="D27" s="12">
        <f>'Alientormenta'!B27</f>
        <v>5</v>
      </c>
      <c r="E27" s="12">
        <f>'Abrasanubes'!B27</f>
        <v>5</v>
      </c>
      <c r="F27" s="12">
        <f>'Ventoscuro'!B27</f>
        <v>5</v>
      </c>
      <c r="G27" s="12">
        <f>'Fulgor'!B27</f>
        <v>5</v>
      </c>
    </row>
    <row r="28" spans="1:7" x14ac:dyDescent="0.25">
      <c r="A28" s="13" t="s">
        <v>60</v>
      </c>
      <c r="B28" s="10" t="s">
        <v>35</v>
      </c>
      <c r="C28" s="11">
        <f>Base!B28</f>
        <v>10</v>
      </c>
      <c r="D28" s="12">
        <f>'Alientormenta'!B28</f>
        <v>10</v>
      </c>
      <c r="E28" s="12">
        <f>'Abrasanubes'!B28</f>
        <v>10</v>
      </c>
      <c r="F28" s="12">
        <f>'Ventoscuro'!B28</f>
        <v>10</v>
      </c>
      <c r="G28" s="12">
        <f>'Fulgor'!B28</f>
        <v>10</v>
      </c>
    </row>
    <row r="29" spans="1:7" x14ac:dyDescent="0.25">
      <c r="A29" s="13" t="s">
        <v>61</v>
      </c>
      <c r="B29" s="10" t="s">
        <v>35</v>
      </c>
      <c r="C29" s="11">
        <f>Base!B29</f>
        <v>4</v>
      </c>
      <c r="D29" s="12">
        <f>'Alientormenta'!B29</f>
        <v>4</v>
      </c>
      <c r="E29" s="12">
        <f>'Abrasanubes'!B29</f>
        <v>4</v>
      </c>
      <c r="F29" s="12">
        <f>'Ventoscuro'!B29</f>
        <v>4</v>
      </c>
      <c r="G29" s="12">
        <f>'Fulgor'!B29</f>
        <v>4</v>
      </c>
    </row>
    <row r="30" ht="20" customHeight="1" spans="1:7" x14ac:dyDescent="0.25">
      <c r="A30" s="8" t="s">
        <v>62</v>
      </c>
      <c r="B30" s="8"/>
      <c r="C30" s="8"/>
      <c r="D30" s="8"/>
      <c r="E30" s="8"/>
      <c r="F30" s="8"/>
      <c r="G30" s="8"/>
    </row>
    <row r="31" spans="1:7" x14ac:dyDescent="0.25">
      <c r="A31" s="9" t="s">
        <v>63</v>
      </c>
      <c r="B31" s="10" t="s">
        <v>37</v>
      </c>
      <c r="C31" s="11">
        <f>Base!B31</f>
        <v>50</v>
      </c>
      <c r="D31" s="12">
        <f>'Alientormenta'!B31</f>
        <v>50</v>
      </c>
      <c r="E31" s="12">
        <f>'Abrasanubes'!B31</f>
        <v>50</v>
      </c>
      <c r="F31" s="12">
        <f>'Ventoscuro'!B31</f>
        <v>50</v>
      </c>
      <c r="G31" s="12">
        <f>'Fulgor'!B31</f>
        <v>50</v>
      </c>
    </row>
    <row r="32" spans="1:7" x14ac:dyDescent="0.25">
      <c r="A32" s="9" t="s">
        <v>64</v>
      </c>
      <c r="B32" s="10" t="s">
        <v>35</v>
      </c>
      <c r="C32" s="11">
        <f>Base!B32</f>
        <v>5</v>
      </c>
      <c r="D32" s="12">
        <f>'Alientormenta'!B32</f>
        <v>5</v>
      </c>
      <c r="E32" s="12">
        <f>'Abrasanubes'!B32</f>
        <v>5</v>
      </c>
      <c r="F32" s="12">
        <f>'Ventoscuro'!B32</f>
        <v>5</v>
      </c>
      <c r="G32" s="12">
        <f>'Fulgor'!B32</f>
        <v>5</v>
      </c>
    </row>
    <row r="33" spans="1:7" x14ac:dyDescent="0.25">
      <c r="A33" s="9" t="s">
        <v>65</v>
      </c>
      <c r="B33" s="10" t="s">
        <v>66</v>
      </c>
      <c r="C33" s="11">
        <f>Base!B33</f>
        <v>8</v>
      </c>
      <c r="D33" s="12">
        <f>'Alientormenta'!B33</f>
        <v>8</v>
      </c>
      <c r="E33" s="12">
        <f>'Abrasanubes'!B33</f>
        <v>8</v>
      </c>
      <c r="F33" s="12">
        <f>'Ventoscuro'!B33</f>
        <v>8</v>
      </c>
      <c r="G33" s="12">
        <f>'Fulgor'!B33</f>
        <v>8</v>
      </c>
    </row>
    <row r="34" spans="1:7" x14ac:dyDescent="0.25">
      <c r="A34" s="9" t="s">
        <v>67</v>
      </c>
      <c r="B34" s="10" t="s">
        <v>68</v>
      </c>
      <c r="C34" s="11">
        <f>Base!B34</f>
        <v>0.5</v>
      </c>
      <c r="D34" s="12">
        <f>'Alientormenta'!B34</f>
        <v>0.5</v>
      </c>
      <c r="E34" s="12">
        <f>'Abrasanubes'!B34</f>
        <v>0.5</v>
      </c>
      <c r="F34" s="12">
        <f>'Ventoscuro'!B34</f>
        <v>0.5</v>
      </c>
      <c r="G34" s="12">
        <f>'Fulgor'!B34</f>
        <v>0.5</v>
      </c>
    </row>
    <row r="35" spans="1:7" x14ac:dyDescent="0.25">
      <c r="A35" s="9" t="s">
        <v>69</v>
      </c>
      <c r="B35" s="10" t="s">
        <v>70</v>
      </c>
      <c r="C35" s="11">
        <f>Base!B35</f>
        <v>5</v>
      </c>
      <c r="D35" s="12">
        <f>'Alientormenta'!B35</f>
        <v>5</v>
      </c>
      <c r="E35" s="12">
        <f>'Abrasanubes'!B35</f>
        <v>5</v>
      </c>
      <c r="F35" s="12">
        <f>'Ventoscuro'!B35</f>
        <v>5</v>
      </c>
      <c r="G35" s="12">
        <f>'Fulgor'!B35</f>
        <v>5</v>
      </c>
    </row>
    <row r="36" ht="20" customHeight="1" spans="1:7" x14ac:dyDescent="0.25">
      <c r="A36" s="8" t="s">
        <v>71</v>
      </c>
      <c r="B36" s="8"/>
      <c r="C36" s="8"/>
      <c r="D36" s="8"/>
      <c r="E36" s="8"/>
      <c r="F36" s="8"/>
      <c r="G36" s="8"/>
    </row>
    <row r="37" spans="1:7" x14ac:dyDescent="0.25">
      <c r="A37" s="9" t="s">
        <v>72</v>
      </c>
      <c r="B37" s="10" t="s">
        <v>73</v>
      </c>
      <c r="C37" s="11">
        <f>Base!B37</f>
        <v>600</v>
      </c>
      <c r="D37" s="12">
        <f>'Alientormenta'!B37</f>
        <v>600</v>
      </c>
      <c r="E37" s="12">
        <f>'Abrasanubes'!B37</f>
        <v>600</v>
      </c>
      <c r="F37" s="12">
        <f>'Ventoscuro'!B37</f>
        <v>600</v>
      </c>
      <c r="G37" s="12">
        <f>'Fulgor'!B37</f>
        <v>600</v>
      </c>
    </row>
    <row r="38" spans="1:7" x14ac:dyDescent="0.25">
      <c r="A38" s="9" t="s">
        <v>74</v>
      </c>
      <c r="B38" s="10" t="s">
        <v>73</v>
      </c>
      <c r="C38" s="11">
        <f>Base!B38</f>
        <v>1000</v>
      </c>
      <c r="D38" s="12">
        <f>'Alientormenta'!B38</f>
        <v>1000</v>
      </c>
      <c r="E38" s="12">
        <f>'Abrasanubes'!B38</f>
        <v>1000</v>
      </c>
      <c r="F38" s="12">
        <f>'Ventoscuro'!B38</f>
        <v>1000</v>
      </c>
      <c r="G38" s="12">
        <f>'Fulgor'!B38</f>
        <v>1000</v>
      </c>
    </row>
    <row r="39" spans="1:7" x14ac:dyDescent="0.25">
      <c r="A39" s="9" t="s">
        <v>75</v>
      </c>
      <c r="B39" s="10" t="s">
        <v>35</v>
      </c>
      <c r="C39" s="11">
        <f>Base!B39</f>
        <v>10</v>
      </c>
      <c r="D39" s="12">
        <f>'Alientormenta'!B39</f>
        <v>10</v>
      </c>
      <c r="E39" s="12">
        <f>'Abrasanubes'!B39</f>
        <v>10</v>
      </c>
      <c r="F39" s="12">
        <f>'Ventoscuro'!B39</f>
        <v>10</v>
      </c>
      <c r="G39" s="12">
        <f>'Fulgor'!B39</f>
        <v>10</v>
      </c>
    </row>
    <row r="40" spans="1:7" x14ac:dyDescent="0.25">
      <c r="A40" s="9" t="s">
        <v>76</v>
      </c>
      <c r="B40" s="10" t="s">
        <v>35</v>
      </c>
      <c r="C40" s="11">
        <f>Base!B40</f>
        <v>3</v>
      </c>
      <c r="D40" s="12">
        <f>'Alientormenta'!B40</f>
        <v>3</v>
      </c>
      <c r="E40" s="12">
        <f>'Abrasanubes'!B40</f>
        <v>3</v>
      </c>
      <c r="F40" s="12">
        <f>'Ventoscuro'!B40</f>
        <v>3</v>
      </c>
      <c r="G40" s="12">
        <f>'Fulgor'!B40</f>
        <v>3</v>
      </c>
    </row>
    <row r="41" spans="1:7" x14ac:dyDescent="0.25">
      <c r="A41" s="9" t="s">
        <v>77</v>
      </c>
      <c r="B41" s="10" t="s">
        <v>35</v>
      </c>
      <c r="C41" s="11">
        <f>Base!B41</f>
        <v>2</v>
      </c>
      <c r="D41" s="12">
        <f>'Alientormenta'!B41</f>
        <v>2</v>
      </c>
      <c r="E41" s="12">
        <f>'Abrasanubes'!B41</f>
        <v>2</v>
      </c>
      <c r="F41" s="12">
        <f>'Ventoscuro'!B41</f>
        <v>2</v>
      </c>
      <c r="G41" s="12">
        <f>'Fulgor'!B41</f>
        <v>2</v>
      </c>
    </row>
    <row r="42" spans="1:7" x14ac:dyDescent="0.25">
      <c r="A42" s="9" t="s">
        <v>78</v>
      </c>
      <c r="B42" s="10" t="s">
        <v>68</v>
      </c>
      <c r="C42" s="11">
        <f>Base!B42</f>
        <v>2</v>
      </c>
      <c r="D42" s="12">
        <f>'Alientormenta'!B42</f>
        <v>2</v>
      </c>
      <c r="E42" s="12">
        <f>'Abrasanubes'!B42</f>
        <v>2</v>
      </c>
      <c r="F42" s="12">
        <f>'Ventoscuro'!B42</f>
        <v>2</v>
      </c>
      <c r="G42" s="12">
        <f>'Fulgor'!B42</f>
        <v>2</v>
      </c>
    </row>
    <row r="43" spans="1:7" x14ac:dyDescent="0.25">
      <c r="A43" s="9" t="s">
        <v>79</v>
      </c>
      <c r="B43" s="10" t="s">
        <v>54</v>
      </c>
      <c r="C43" s="11">
        <f>Base!B43</f>
        <v>110</v>
      </c>
      <c r="D43" s="12">
        <f>'Alientormenta'!B43</f>
        <v>110</v>
      </c>
      <c r="E43" s="12">
        <f>'Abrasanubes'!B43</f>
        <v>110</v>
      </c>
      <c r="F43" s="12">
        <f>'Ventoscuro'!B43</f>
        <v>110</v>
      </c>
      <c r="G43" s="12">
        <f>'Fulgor'!B43</f>
        <v>110</v>
      </c>
    </row>
  </sheetData>
  <mergeCells count="8">
    <mergeCell ref="A1:G1"/>
    <mergeCell ref="A2:G2"/>
    <mergeCell ref="A5:G5"/>
    <mergeCell ref="A13:G13"/>
    <mergeCell ref="A19:G19"/>
    <mergeCell ref="A24:G24"/>
    <mergeCell ref="A30:G30"/>
    <mergeCell ref="A36:G36"/>
  </mergeCells>
  <conditionalFormatting sqref="D5:G43">
    <cfRule type="expression" dxfId="0" priority="1">
      <formula>AND(ISNUMBER($C5),D5&lt;&gt;$C5)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B84B"/>
  </sheetPr>
  <dimension ref="A1:E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8" customWidth="1"/>
    <col min="4" max="4" width="90" customWidth="1"/>
    <col min="5" max="5" width="22" customWidth="1"/>
  </cols>
  <sheetData>
    <row r="1" ht="28" customHeight="1" spans="1:5" x14ac:dyDescent="0.25">
      <c r="A1" s="4" t="s">
        <v>25</v>
      </c>
      <c r="B1" s="4"/>
      <c r="C1" s="4"/>
      <c r="D1" s="4"/>
      <c r="E1" s="4"/>
    </row>
    <row r="2" spans="1:5" x14ac:dyDescent="0.25">
      <c r="A2" s="5" t="s">
        <v>80</v>
      </c>
      <c r="B2" s="5"/>
      <c r="C2" s="5"/>
      <c r="D2" s="5"/>
      <c r="E2" s="5"/>
    </row>
    <row r="4" spans="1:5" x14ac:dyDescent="0.25">
      <c r="A4" s="14" t="s">
        <v>23</v>
      </c>
      <c r="B4" s="14" t="s">
        <v>81</v>
      </c>
      <c r="C4" s="14" t="s">
        <v>24</v>
      </c>
      <c r="D4" s="14" t="s">
        <v>82</v>
      </c>
      <c r="E4" s="15" t="s">
        <v>83</v>
      </c>
    </row>
    <row r="5" ht="20" customHeight="1" spans="1:5" x14ac:dyDescent="0.25">
      <c r="A5" s="8" t="s">
        <v>30</v>
      </c>
      <c r="B5" s="8"/>
      <c r="C5" s="8"/>
      <c r="D5" s="8"/>
      <c r="E5" s="8"/>
    </row>
    <row r="6" spans="1:5" x14ac:dyDescent="0.25">
      <c r="A6" s="9" t="s">
        <v>31</v>
      </c>
      <c r="B6" s="16">
        <v>100</v>
      </c>
      <c r="C6" s="10" t="s">
        <v>32</v>
      </c>
      <c r="D6" s="17" t="s">
        <v>84</v>
      </c>
      <c r="E6" s="18" t="s">
        <v>85</v>
      </c>
    </row>
    <row r="7" spans="1:5" x14ac:dyDescent="0.25">
      <c r="A7" s="9" t="s">
        <v>33</v>
      </c>
      <c r="B7" s="16">
        <v>50</v>
      </c>
      <c r="C7" s="10" t="s">
        <v>32</v>
      </c>
      <c r="D7" s="17" t="s">
        <v>86</v>
      </c>
      <c r="E7" s="18" t="s">
        <v>87</v>
      </c>
    </row>
    <row r="8" spans="1:5" x14ac:dyDescent="0.25">
      <c r="A8" s="9" t="s">
        <v>34</v>
      </c>
      <c r="B8" s="16">
        <v>5</v>
      </c>
      <c r="C8" s="10" t="s">
        <v>35</v>
      </c>
      <c r="D8" s="17" t="s">
        <v>88</v>
      </c>
      <c r="E8" s="18" t="s">
        <v>89</v>
      </c>
    </row>
    <row r="9" spans="1:5" x14ac:dyDescent="0.25">
      <c r="A9" s="9" t="s">
        <v>36</v>
      </c>
      <c r="B9" s="16">
        <v>5</v>
      </c>
      <c r="C9" s="10" t="s">
        <v>37</v>
      </c>
      <c r="D9" s="17" t="s">
        <v>90</v>
      </c>
      <c r="E9" s="18" t="s">
        <v>91</v>
      </c>
    </row>
    <row r="10" spans="1:5" x14ac:dyDescent="0.25">
      <c r="A10" s="9" t="s">
        <v>38</v>
      </c>
      <c r="B10" s="16">
        <v>2</v>
      </c>
      <c r="C10" s="10" t="s">
        <v>39</v>
      </c>
      <c r="D10" s="17" t="s">
        <v>92</v>
      </c>
      <c r="E10" s="18" t="s">
        <v>93</v>
      </c>
    </row>
    <row r="11" spans="1:5" x14ac:dyDescent="0.25">
      <c r="A11" s="13" t="s">
        <v>40</v>
      </c>
      <c r="B11" s="16">
        <v>5</v>
      </c>
      <c r="C11" s="10" t="s">
        <v>35</v>
      </c>
      <c r="D11" s="17" t="s">
        <v>94</v>
      </c>
      <c r="E11" s="18" t="s">
        <v>95</v>
      </c>
    </row>
    <row r="12" spans="1:5" x14ac:dyDescent="0.25">
      <c r="A12" s="13" t="s">
        <v>41</v>
      </c>
      <c r="B12" s="16">
        <v>1</v>
      </c>
      <c r="C12" s="10" t="s">
        <v>39</v>
      </c>
      <c r="D12" s="17" t="s">
        <v>96</v>
      </c>
      <c r="E12" s="18" t="s">
        <v>97</v>
      </c>
    </row>
    <row r="13" ht="20" customHeight="1" spans="1:5" x14ac:dyDescent="0.25">
      <c r="A13" s="8" t="s">
        <v>42</v>
      </c>
      <c r="B13" s="8"/>
      <c r="C13" s="8"/>
      <c r="D13" s="8"/>
      <c r="E13" s="8"/>
    </row>
    <row r="14" spans="1:5" x14ac:dyDescent="0.25">
      <c r="A14" s="9" t="s">
        <v>43</v>
      </c>
      <c r="B14" s="16">
        <v>5</v>
      </c>
      <c r="C14" s="10" t="s">
        <v>32</v>
      </c>
      <c r="D14" s="17" t="s">
        <v>98</v>
      </c>
      <c r="E14" s="18" t="s">
        <v>99</v>
      </c>
    </row>
    <row r="15" spans="1:5" x14ac:dyDescent="0.25">
      <c r="A15" s="9" t="s">
        <v>44</v>
      </c>
      <c r="B15" s="16">
        <v>20</v>
      </c>
      <c r="C15" s="10" t="s">
        <v>45</v>
      </c>
      <c r="D15" s="17" t="s">
        <v>100</v>
      </c>
      <c r="E15" s="18" t="s">
        <v>101</v>
      </c>
    </row>
    <row r="16" spans="1:5" x14ac:dyDescent="0.25">
      <c r="A16" s="13" t="s">
        <v>46</v>
      </c>
      <c r="B16" s="16">
        <v>0.1</v>
      </c>
      <c r="C16" s="10" t="s">
        <v>35</v>
      </c>
      <c r="D16" s="17" t="s">
        <v>102</v>
      </c>
      <c r="E16" s="18" t="s">
        <v>103</v>
      </c>
    </row>
    <row r="17" spans="1:5" x14ac:dyDescent="0.25">
      <c r="A17" s="13" t="s">
        <v>47</v>
      </c>
      <c r="B17" s="16">
        <v>1</v>
      </c>
      <c r="C17" s="10" t="s">
        <v>35</v>
      </c>
      <c r="D17" s="17" t="s">
        <v>104</v>
      </c>
      <c r="E17" s="18" t="s">
        <v>105</v>
      </c>
    </row>
    <row r="18" spans="1:5" x14ac:dyDescent="0.25">
      <c r="A18" s="13" t="s">
        <v>48</v>
      </c>
      <c r="B18" s="16">
        <v>8</v>
      </c>
      <c r="C18" s="10" t="s">
        <v>49</v>
      </c>
      <c r="D18" s="17" t="s">
        <v>106</v>
      </c>
      <c r="E18" s="18" t="s">
        <v>107</v>
      </c>
    </row>
    <row r="19" ht="20" customHeight="1" spans="1:5" x14ac:dyDescent="0.25">
      <c r="A19" s="8" t="s">
        <v>50</v>
      </c>
      <c r="B19" s="8"/>
      <c r="C19" s="8"/>
      <c r="D19" s="8"/>
      <c r="E19" s="8"/>
    </row>
    <row r="20" spans="1:5" x14ac:dyDescent="0.25">
      <c r="A20" s="9" t="s">
        <v>51</v>
      </c>
      <c r="B20" s="16">
        <v>60</v>
      </c>
      <c r="C20" s="10" t="s">
        <v>32</v>
      </c>
      <c r="D20" s="17" t="s">
        <v>108</v>
      </c>
      <c r="E20" s="18" t="s">
        <v>109</v>
      </c>
    </row>
    <row r="21" spans="1:5" x14ac:dyDescent="0.25">
      <c r="A21" s="9" t="s">
        <v>52</v>
      </c>
      <c r="B21" s="16">
        <v>20</v>
      </c>
      <c r="C21" s="10" t="s">
        <v>45</v>
      </c>
      <c r="D21" s="17" t="s">
        <v>110</v>
      </c>
      <c r="E21" s="18" t="s">
        <v>111</v>
      </c>
    </row>
    <row r="22" spans="1:5" x14ac:dyDescent="0.25">
      <c r="A22" s="13" t="s">
        <v>53</v>
      </c>
      <c r="B22" s="16">
        <v>3000</v>
      </c>
      <c r="C22" s="10" t="s">
        <v>54</v>
      </c>
      <c r="D22" s="17" t="s">
        <v>112</v>
      </c>
      <c r="E22" s="18" t="s">
        <v>113</v>
      </c>
    </row>
    <row r="23" spans="1:5" x14ac:dyDescent="0.25">
      <c r="A23" s="13" t="s">
        <v>55</v>
      </c>
      <c r="B23" s="16">
        <v>2</v>
      </c>
      <c r="C23" s="10" t="s">
        <v>35</v>
      </c>
      <c r="D23" s="17" t="s">
        <v>114</v>
      </c>
      <c r="E23" s="18" t="s">
        <v>115</v>
      </c>
    </row>
    <row r="24" ht="20" customHeight="1" spans="1:5" x14ac:dyDescent="0.25">
      <c r="A24" s="8" t="s">
        <v>56</v>
      </c>
      <c r="B24" s="8"/>
      <c r="C24" s="8"/>
      <c r="D24" s="8"/>
      <c r="E24" s="8"/>
    </row>
    <row r="25" spans="1:5" x14ac:dyDescent="0.25">
      <c r="A25" s="9" t="s">
        <v>57</v>
      </c>
      <c r="B25" s="16">
        <v>15</v>
      </c>
      <c r="C25" s="10" t="s">
        <v>37</v>
      </c>
      <c r="D25" s="17" t="s">
        <v>116</v>
      </c>
      <c r="E25" s="18" t="s">
        <v>117</v>
      </c>
    </row>
    <row r="26" spans="1:5" x14ac:dyDescent="0.25">
      <c r="A26" s="9" t="s">
        <v>58</v>
      </c>
      <c r="B26" s="16">
        <v>300</v>
      </c>
      <c r="C26" s="10" t="s">
        <v>54</v>
      </c>
      <c r="D26" s="17" t="s">
        <v>118</v>
      </c>
      <c r="E26" s="18" t="s">
        <v>119</v>
      </c>
    </row>
    <row r="27" spans="1:5" x14ac:dyDescent="0.25">
      <c r="A27" s="9" t="s">
        <v>59</v>
      </c>
      <c r="B27" s="16">
        <v>5</v>
      </c>
      <c r="C27" s="10" t="s">
        <v>35</v>
      </c>
      <c r="D27" s="17" t="s">
        <v>120</v>
      </c>
      <c r="E27" s="18" t="s">
        <v>121</v>
      </c>
    </row>
    <row r="28" spans="1:5" x14ac:dyDescent="0.25">
      <c r="A28" s="13" t="s">
        <v>60</v>
      </c>
      <c r="B28" s="16">
        <v>10</v>
      </c>
      <c r="C28" s="10" t="s">
        <v>35</v>
      </c>
      <c r="D28" s="17" t="s">
        <v>122</v>
      </c>
      <c r="E28" s="18" t="s">
        <v>123</v>
      </c>
    </row>
    <row r="29" spans="1:5" x14ac:dyDescent="0.25">
      <c r="A29" s="13" t="s">
        <v>61</v>
      </c>
      <c r="B29" s="16">
        <v>4</v>
      </c>
      <c r="C29" s="10" t="s">
        <v>35</v>
      </c>
      <c r="D29" s="17" t="s">
        <v>124</v>
      </c>
      <c r="E29" s="18" t="s">
        <v>125</v>
      </c>
    </row>
    <row r="30" ht="20" customHeight="1" spans="1:5" x14ac:dyDescent="0.25">
      <c r="A30" s="8" t="s">
        <v>62</v>
      </c>
      <c r="B30" s="8"/>
      <c r="C30" s="8"/>
      <c r="D30" s="8"/>
      <c r="E30" s="8"/>
    </row>
    <row r="31" spans="1:5" x14ac:dyDescent="0.25">
      <c r="A31" s="9" t="s">
        <v>63</v>
      </c>
      <c r="B31" s="16">
        <v>50</v>
      </c>
      <c r="C31" s="10" t="s">
        <v>37</v>
      </c>
      <c r="D31" s="17" t="s">
        <v>126</v>
      </c>
      <c r="E31" s="18" t="s">
        <v>127</v>
      </c>
    </row>
    <row r="32" spans="1:5" x14ac:dyDescent="0.25">
      <c r="A32" s="9" t="s">
        <v>64</v>
      </c>
      <c r="B32" s="16">
        <v>5</v>
      </c>
      <c r="C32" s="10" t="s">
        <v>35</v>
      </c>
      <c r="D32" s="17" t="s">
        <v>128</v>
      </c>
      <c r="E32" s="18" t="s">
        <v>129</v>
      </c>
    </row>
    <row r="33" spans="1:5" x14ac:dyDescent="0.25">
      <c r="A33" s="9" t="s">
        <v>65</v>
      </c>
      <c r="B33" s="16">
        <v>8</v>
      </c>
      <c r="C33" s="10" t="s">
        <v>66</v>
      </c>
      <c r="D33" s="17" t="s">
        <v>130</v>
      </c>
      <c r="E33" s="18" t="s">
        <v>131</v>
      </c>
    </row>
    <row r="34" spans="1:5" x14ac:dyDescent="0.25">
      <c r="A34" s="9" t="s">
        <v>67</v>
      </c>
      <c r="B34" s="16">
        <v>0.5</v>
      </c>
      <c r="C34" s="10" t="s">
        <v>68</v>
      </c>
      <c r="D34" s="17" t="s">
        <v>132</v>
      </c>
      <c r="E34" s="18" t="s">
        <v>133</v>
      </c>
    </row>
    <row r="35" spans="1:5" x14ac:dyDescent="0.25">
      <c r="A35" s="9" t="s">
        <v>69</v>
      </c>
      <c r="B35" s="16">
        <v>5</v>
      </c>
      <c r="C35" s="10" t="s">
        <v>70</v>
      </c>
      <c r="D35" s="17" t="s">
        <v>134</v>
      </c>
      <c r="E35" s="18" t="s">
        <v>135</v>
      </c>
    </row>
    <row r="36" ht="20" customHeight="1" spans="1:5" x14ac:dyDescent="0.25">
      <c r="A36" s="8" t="s">
        <v>71</v>
      </c>
      <c r="B36" s="8"/>
      <c r="C36" s="8"/>
      <c r="D36" s="8"/>
      <c r="E36" s="8"/>
    </row>
    <row r="37" spans="1:5" x14ac:dyDescent="0.25">
      <c r="A37" s="9" t="s">
        <v>72</v>
      </c>
      <c r="B37" s="16">
        <v>600</v>
      </c>
      <c r="C37" s="10" t="s">
        <v>73</v>
      </c>
      <c r="D37" s="17" t="s">
        <v>136</v>
      </c>
      <c r="E37" s="18" t="s">
        <v>137</v>
      </c>
    </row>
    <row r="38" spans="1:5" x14ac:dyDescent="0.25">
      <c r="A38" s="9" t="s">
        <v>74</v>
      </c>
      <c r="B38" s="16">
        <v>1000</v>
      </c>
      <c r="C38" s="10" t="s">
        <v>73</v>
      </c>
      <c r="D38" s="17" t="s">
        <v>138</v>
      </c>
      <c r="E38" s="18" t="s">
        <v>139</v>
      </c>
    </row>
    <row r="39" spans="1:5" x14ac:dyDescent="0.25">
      <c r="A39" s="9" t="s">
        <v>75</v>
      </c>
      <c r="B39" s="16">
        <v>10</v>
      </c>
      <c r="C39" s="10" t="s">
        <v>35</v>
      </c>
      <c r="D39" s="17" t="s">
        <v>140</v>
      </c>
      <c r="E39" s="18" t="s">
        <v>141</v>
      </c>
    </row>
    <row r="40" spans="1:5" x14ac:dyDescent="0.25">
      <c r="A40" s="9" t="s">
        <v>76</v>
      </c>
      <c r="B40" s="16">
        <v>3</v>
      </c>
      <c r="C40" s="10" t="s">
        <v>35</v>
      </c>
      <c r="D40" s="17" t="s">
        <v>142</v>
      </c>
      <c r="E40" s="18" t="s">
        <v>143</v>
      </c>
    </row>
    <row r="41" spans="1:5" x14ac:dyDescent="0.25">
      <c r="A41" s="9" t="s">
        <v>77</v>
      </c>
      <c r="B41" s="16">
        <v>2</v>
      </c>
      <c r="C41" s="10" t="s">
        <v>35</v>
      </c>
      <c r="D41" s="17" t="s">
        <v>144</v>
      </c>
      <c r="E41" s="18" t="s">
        <v>145</v>
      </c>
    </row>
    <row r="42" spans="1:5" x14ac:dyDescent="0.25">
      <c r="A42" s="9" t="s">
        <v>78</v>
      </c>
      <c r="B42" s="16">
        <v>2</v>
      </c>
      <c r="C42" s="10" t="s">
        <v>68</v>
      </c>
      <c r="D42" s="17" t="s">
        <v>146</v>
      </c>
      <c r="E42" s="18" t="s">
        <v>147</v>
      </c>
    </row>
    <row r="43" spans="1:5" x14ac:dyDescent="0.25">
      <c r="A43" s="9" t="s">
        <v>79</v>
      </c>
      <c r="B43" s="16">
        <v>110</v>
      </c>
      <c r="C43" s="10" t="s">
        <v>54</v>
      </c>
      <c r="D43" s="17" t="s">
        <v>148</v>
      </c>
      <c r="E43" s="18" t="s">
        <v>149</v>
      </c>
    </row>
  </sheetData>
  <mergeCells count="8">
    <mergeCell ref="A1:E1"/>
    <mergeCell ref="A2:E2"/>
    <mergeCell ref="A5:E5"/>
    <mergeCell ref="A13:E13"/>
    <mergeCell ref="A19:E19"/>
    <mergeCell ref="A24:E24"/>
    <mergeCell ref="A30:E30"/>
    <mergeCell ref="A36:E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1A"/>
  </sheetPr>
  <dimension ref="A1:G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8" customWidth="1"/>
    <col min="4" max="4" width="10" customWidth="1"/>
    <col min="5" max="5" width="12" customWidth="1"/>
    <col min="6" max="6" width="90" customWidth="1"/>
    <col min="7" max="7" width="22" customWidth="1"/>
  </cols>
  <sheetData>
    <row r="1" ht="28" customHeight="1" spans="1:7" x14ac:dyDescent="0.25">
      <c r="A1" s="4" t="s">
        <v>26</v>
      </c>
      <c r="B1" s="4"/>
      <c r="C1" s="4"/>
      <c r="D1" s="4"/>
      <c r="E1" s="4"/>
      <c r="F1" s="4"/>
      <c r="G1" s="4"/>
    </row>
    <row r="2" spans="1:7" x14ac:dyDescent="0.25">
      <c r="A2" s="5" t="s">
        <v>150</v>
      </c>
      <c r="B2" s="5"/>
      <c r="C2" s="5"/>
      <c r="D2" s="5"/>
      <c r="E2" s="5"/>
      <c r="F2" s="5"/>
      <c r="G2" s="5"/>
    </row>
    <row r="4" spans="1:7" x14ac:dyDescent="0.25">
      <c r="A4" s="14" t="s">
        <v>23</v>
      </c>
      <c r="B4" s="14" t="s">
        <v>81</v>
      </c>
      <c r="C4" s="14" t="s">
        <v>24</v>
      </c>
      <c r="D4" s="14" t="s">
        <v>25</v>
      </c>
      <c r="E4" s="14" t="s">
        <v>151</v>
      </c>
      <c r="F4" s="14" t="s">
        <v>82</v>
      </c>
      <c r="G4" s="15" t="s">
        <v>83</v>
      </c>
    </row>
    <row r="5" ht="20" customHeight="1" spans="1:7" x14ac:dyDescent="0.25">
      <c r="A5" s="8" t="s">
        <v>30</v>
      </c>
      <c r="B5" s="8"/>
      <c r="C5" s="8"/>
      <c r="D5" s="8"/>
      <c r="E5" s="8"/>
      <c r="F5" s="8"/>
      <c r="G5" s="8"/>
    </row>
    <row r="6" spans="1:7" x14ac:dyDescent="0.25">
      <c r="A6" s="9" t="s">
        <v>31</v>
      </c>
      <c r="B6" s="16">
        <f>Base!B6</f>
        <v>100</v>
      </c>
      <c r="C6" s="10" t="s">
        <v>32</v>
      </c>
      <c r="D6" s="10">
        <f>Base!B6</f>
        <v>100</v>
      </c>
      <c r="E6" s="19">
        <f>IF(D6=0,"",B6/D6-1)</f>
        <v>0</v>
      </c>
      <c r="F6" s="17" t="s">
        <v>84</v>
      </c>
      <c r="G6" s="18" t="s">
        <v>85</v>
      </c>
    </row>
    <row r="7" spans="1:7" x14ac:dyDescent="0.25">
      <c r="A7" s="9" t="s">
        <v>33</v>
      </c>
      <c r="B7" s="16">
        <f>Base!B7</f>
        <v>50</v>
      </c>
      <c r="C7" s="10" t="s">
        <v>32</v>
      </c>
      <c r="D7" s="10">
        <f>Base!B7</f>
        <v>50</v>
      </c>
      <c r="E7" s="19">
        <f>IF(D7=0,"",B7/D7-1)</f>
        <v>0</v>
      </c>
      <c r="F7" s="17" t="s">
        <v>86</v>
      </c>
      <c r="G7" s="18" t="s">
        <v>87</v>
      </c>
    </row>
    <row r="8" spans="1:7" x14ac:dyDescent="0.25">
      <c r="A8" s="9" t="s">
        <v>34</v>
      </c>
      <c r="B8" s="16">
        <f>Base!B8</f>
        <v>5</v>
      </c>
      <c r="C8" s="10" t="s">
        <v>35</v>
      </c>
      <c r="D8" s="10">
        <f>Base!B8</f>
        <v>5</v>
      </c>
      <c r="E8" s="19">
        <f>IF(D8=0,"",B8/D8-1)</f>
        <v>0</v>
      </c>
      <c r="F8" s="17" t="s">
        <v>88</v>
      </c>
      <c r="G8" s="18" t="s">
        <v>89</v>
      </c>
    </row>
    <row r="9" spans="1:7" x14ac:dyDescent="0.25">
      <c r="A9" s="9" t="s">
        <v>36</v>
      </c>
      <c r="B9" s="16">
        <f>Base!B9</f>
        <v>5</v>
      </c>
      <c r="C9" s="10" t="s">
        <v>37</v>
      </c>
      <c r="D9" s="10">
        <f>Base!B9</f>
        <v>5</v>
      </c>
      <c r="E9" s="19">
        <f>IF(D9=0,"",B9/D9-1)</f>
        <v>0</v>
      </c>
      <c r="F9" s="17" t="s">
        <v>90</v>
      </c>
      <c r="G9" s="18" t="s">
        <v>91</v>
      </c>
    </row>
    <row r="10" spans="1:7" x14ac:dyDescent="0.25">
      <c r="A10" s="9" t="s">
        <v>38</v>
      </c>
      <c r="B10" s="16">
        <f>Base!B10</f>
        <v>2</v>
      </c>
      <c r="C10" s="10" t="s">
        <v>39</v>
      </c>
      <c r="D10" s="10">
        <f>Base!B10</f>
        <v>2</v>
      </c>
      <c r="E10" s="19">
        <f>IF(D10=0,"",B10/D10-1)</f>
        <v>0</v>
      </c>
      <c r="F10" s="17" t="s">
        <v>92</v>
      </c>
      <c r="G10" s="18" t="s">
        <v>93</v>
      </c>
    </row>
    <row r="11" spans="1:7" x14ac:dyDescent="0.25">
      <c r="A11" s="13" t="s">
        <v>40</v>
      </c>
      <c r="B11" s="16">
        <f>Base!B11</f>
        <v>5</v>
      </c>
      <c r="C11" s="10" t="s">
        <v>35</v>
      </c>
      <c r="D11" s="10">
        <f>Base!B11</f>
        <v>5</v>
      </c>
      <c r="E11" s="19">
        <f>IF(D11=0,"",B11/D11-1)</f>
        <v>0</v>
      </c>
      <c r="F11" s="17" t="s">
        <v>94</v>
      </c>
      <c r="G11" s="18" t="s">
        <v>95</v>
      </c>
    </row>
    <row r="12" spans="1:7" x14ac:dyDescent="0.25">
      <c r="A12" s="13" t="s">
        <v>41</v>
      </c>
      <c r="B12" s="16">
        <f>Base!B12</f>
        <v>1</v>
      </c>
      <c r="C12" s="10" t="s">
        <v>39</v>
      </c>
      <c r="D12" s="10">
        <f>Base!B12</f>
        <v>1</v>
      </c>
      <c r="E12" s="19">
        <f>IF(D12=0,"",B12/D12-1)</f>
        <v>0</v>
      </c>
      <c r="F12" s="17" t="s">
        <v>96</v>
      </c>
      <c r="G12" s="18" t="s">
        <v>97</v>
      </c>
    </row>
    <row r="13" ht="20" customHeight="1" spans="1:7" x14ac:dyDescent="0.25">
      <c r="A13" s="8" t="s">
        <v>42</v>
      </c>
      <c r="B13" s="8"/>
      <c r="C13" s="8"/>
      <c r="D13" s="8"/>
      <c r="E13" s="8"/>
      <c r="F13" s="8"/>
      <c r="G13" s="8"/>
    </row>
    <row r="14" spans="1:7" x14ac:dyDescent="0.25">
      <c r="A14" s="9" t="s">
        <v>43</v>
      </c>
      <c r="B14" s="16">
        <f>Base!B14</f>
        <v>5</v>
      </c>
      <c r="C14" s="10" t="s">
        <v>32</v>
      </c>
      <c r="D14" s="10">
        <f>Base!B14</f>
        <v>5</v>
      </c>
      <c r="E14" s="19">
        <f>IF(D14=0,"",B14/D14-1)</f>
        <v>0</v>
      </c>
      <c r="F14" s="17" t="s">
        <v>98</v>
      </c>
      <c r="G14" s="18" t="s">
        <v>99</v>
      </c>
    </row>
    <row r="15" spans="1:7" x14ac:dyDescent="0.25">
      <c r="A15" s="9" t="s">
        <v>44</v>
      </c>
      <c r="B15" s="16">
        <f>Base!B15</f>
        <v>20</v>
      </c>
      <c r="C15" s="10" t="s">
        <v>45</v>
      </c>
      <c r="D15" s="10">
        <f>Base!B15</f>
        <v>20</v>
      </c>
      <c r="E15" s="19">
        <f>IF(D15=0,"",B15/D15-1)</f>
        <v>0</v>
      </c>
      <c r="F15" s="17" t="s">
        <v>100</v>
      </c>
      <c r="G15" s="18" t="s">
        <v>101</v>
      </c>
    </row>
    <row r="16" spans="1:7" x14ac:dyDescent="0.25">
      <c r="A16" s="13" t="s">
        <v>46</v>
      </c>
      <c r="B16" s="16">
        <f>Base!B16</f>
        <v>0.1</v>
      </c>
      <c r="C16" s="10" t="s">
        <v>35</v>
      </c>
      <c r="D16" s="10">
        <f>Base!B16</f>
        <v>0.1</v>
      </c>
      <c r="E16" s="19">
        <f>IF(D16=0,"",B16/D16-1)</f>
        <v>0</v>
      </c>
      <c r="F16" s="17" t="s">
        <v>102</v>
      </c>
      <c r="G16" s="18" t="s">
        <v>103</v>
      </c>
    </row>
    <row r="17" spans="1:7" x14ac:dyDescent="0.25">
      <c r="A17" s="13" t="s">
        <v>47</v>
      </c>
      <c r="B17" s="16">
        <f>Base!B17</f>
        <v>1</v>
      </c>
      <c r="C17" s="10" t="s">
        <v>35</v>
      </c>
      <c r="D17" s="10">
        <f>Base!B17</f>
        <v>1</v>
      </c>
      <c r="E17" s="19">
        <f>IF(D17=0,"",B17/D17-1)</f>
        <v>0</v>
      </c>
      <c r="F17" s="17" t="s">
        <v>104</v>
      </c>
      <c r="G17" s="18" t="s">
        <v>105</v>
      </c>
    </row>
    <row r="18" spans="1:7" x14ac:dyDescent="0.25">
      <c r="A18" s="13" t="s">
        <v>48</v>
      </c>
      <c r="B18" s="16">
        <f>Base!B18</f>
        <v>8</v>
      </c>
      <c r="C18" s="10" t="s">
        <v>49</v>
      </c>
      <c r="D18" s="10">
        <f>Base!B18</f>
        <v>8</v>
      </c>
      <c r="E18" s="19">
        <f>IF(D18=0,"",B18/D18-1)</f>
        <v>0</v>
      </c>
      <c r="F18" s="17" t="s">
        <v>106</v>
      </c>
      <c r="G18" s="18" t="s">
        <v>107</v>
      </c>
    </row>
    <row r="19" ht="20" customHeight="1" spans="1:7" x14ac:dyDescent="0.25">
      <c r="A19" s="8" t="s">
        <v>50</v>
      </c>
      <c r="B19" s="8"/>
      <c r="C19" s="8"/>
      <c r="D19" s="8"/>
      <c r="E19" s="8"/>
      <c r="F19" s="8"/>
      <c r="G19" s="8"/>
    </row>
    <row r="20" spans="1:7" x14ac:dyDescent="0.25">
      <c r="A20" s="9" t="s">
        <v>51</v>
      </c>
      <c r="B20" s="16">
        <f>Base!B20</f>
        <v>60</v>
      </c>
      <c r="C20" s="10" t="s">
        <v>32</v>
      </c>
      <c r="D20" s="10">
        <f>Base!B20</f>
        <v>60</v>
      </c>
      <c r="E20" s="19">
        <f>IF(D20=0,"",B20/D20-1)</f>
        <v>0</v>
      </c>
      <c r="F20" s="17" t="s">
        <v>108</v>
      </c>
      <c r="G20" s="18" t="s">
        <v>109</v>
      </c>
    </row>
    <row r="21" spans="1:7" x14ac:dyDescent="0.25">
      <c r="A21" s="9" t="s">
        <v>52</v>
      </c>
      <c r="B21" s="16">
        <f>Base!B21</f>
        <v>20</v>
      </c>
      <c r="C21" s="10" t="s">
        <v>45</v>
      </c>
      <c r="D21" s="10">
        <f>Base!B21</f>
        <v>20</v>
      </c>
      <c r="E21" s="19">
        <f>IF(D21=0,"",B21/D21-1)</f>
        <v>0</v>
      </c>
      <c r="F21" s="17" t="s">
        <v>110</v>
      </c>
      <c r="G21" s="18" t="s">
        <v>111</v>
      </c>
    </row>
    <row r="22" spans="1:7" x14ac:dyDescent="0.25">
      <c r="A22" s="13" t="s">
        <v>53</v>
      </c>
      <c r="B22" s="16">
        <f>Base!B22</f>
        <v>3000</v>
      </c>
      <c r="C22" s="10" t="s">
        <v>54</v>
      </c>
      <c r="D22" s="10">
        <f>Base!B22</f>
        <v>3000</v>
      </c>
      <c r="E22" s="19">
        <f>IF(D22=0,"",B22/D22-1)</f>
        <v>0</v>
      </c>
      <c r="F22" s="17" t="s">
        <v>112</v>
      </c>
      <c r="G22" s="18" t="s">
        <v>113</v>
      </c>
    </row>
    <row r="23" spans="1:7" x14ac:dyDescent="0.25">
      <c r="A23" s="13" t="s">
        <v>55</v>
      </c>
      <c r="B23" s="16">
        <f>Base!B23</f>
        <v>2</v>
      </c>
      <c r="C23" s="10" t="s">
        <v>35</v>
      </c>
      <c r="D23" s="10">
        <f>Base!B23</f>
        <v>2</v>
      </c>
      <c r="E23" s="19">
        <f>IF(D23=0,"",B23/D23-1)</f>
        <v>0</v>
      </c>
      <c r="F23" s="17" t="s">
        <v>114</v>
      </c>
      <c r="G23" s="18" t="s">
        <v>115</v>
      </c>
    </row>
    <row r="24" ht="20" customHeight="1" spans="1:7" x14ac:dyDescent="0.25">
      <c r="A24" s="8" t="s">
        <v>56</v>
      </c>
      <c r="B24" s="8"/>
      <c r="C24" s="8"/>
      <c r="D24" s="8"/>
      <c r="E24" s="8"/>
      <c r="F24" s="8"/>
      <c r="G24" s="8"/>
    </row>
    <row r="25" spans="1:7" x14ac:dyDescent="0.25">
      <c r="A25" s="9" t="s">
        <v>57</v>
      </c>
      <c r="B25" s="16">
        <f>Base!B25</f>
        <v>15</v>
      </c>
      <c r="C25" s="10" t="s">
        <v>37</v>
      </c>
      <c r="D25" s="10">
        <f>Base!B25</f>
        <v>15</v>
      </c>
      <c r="E25" s="19">
        <f>IF(D25=0,"",B25/D25-1)</f>
        <v>0</v>
      </c>
      <c r="F25" s="17" t="s">
        <v>116</v>
      </c>
      <c r="G25" s="18" t="s">
        <v>117</v>
      </c>
    </row>
    <row r="26" spans="1:7" x14ac:dyDescent="0.25">
      <c r="A26" s="9" t="s">
        <v>58</v>
      </c>
      <c r="B26" s="16">
        <f>Base!B26</f>
        <v>300</v>
      </c>
      <c r="C26" s="10" t="s">
        <v>54</v>
      </c>
      <c r="D26" s="10">
        <f>Base!B26</f>
        <v>300</v>
      </c>
      <c r="E26" s="19">
        <f>IF(D26=0,"",B26/D26-1)</f>
        <v>0</v>
      </c>
      <c r="F26" s="17" t="s">
        <v>118</v>
      </c>
      <c r="G26" s="18" t="s">
        <v>119</v>
      </c>
    </row>
    <row r="27" spans="1:7" x14ac:dyDescent="0.25">
      <c r="A27" s="9" t="s">
        <v>59</v>
      </c>
      <c r="B27" s="16">
        <f>Base!B27</f>
        <v>5</v>
      </c>
      <c r="C27" s="10" t="s">
        <v>35</v>
      </c>
      <c r="D27" s="10">
        <f>Base!B27</f>
        <v>5</v>
      </c>
      <c r="E27" s="19">
        <f>IF(D27=0,"",B27/D27-1)</f>
        <v>0</v>
      </c>
      <c r="F27" s="17" t="s">
        <v>120</v>
      </c>
      <c r="G27" s="18" t="s">
        <v>121</v>
      </c>
    </row>
    <row r="28" spans="1:7" x14ac:dyDescent="0.25">
      <c r="A28" s="13" t="s">
        <v>60</v>
      </c>
      <c r="B28" s="16">
        <f>Base!B28</f>
        <v>10</v>
      </c>
      <c r="C28" s="10" t="s">
        <v>35</v>
      </c>
      <c r="D28" s="10">
        <f>Base!B28</f>
        <v>10</v>
      </c>
      <c r="E28" s="19">
        <f>IF(D28=0,"",B28/D28-1)</f>
        <v>0</v>
      </c>
      <c r="F28" s="17" t="s">
        <v>122</v>
      </c>
      <c r="G28" s="18" t="s">
        <v>123</v>
      </c>
    </row>
    <row r="29" spans="1:7" x14ac:dyDescent="0.25">
      <c r="A29" s="13" t="s">
        <v>61</v>
      </c>
      <c r="B29" s="16">
        <f>Base!B29</f>
        <v>4</v>
      </c>
      <c r="C29" s="10" t="s">
        <v>35</v>
      </c>
      <c r="D29" s="10">
        <f>Base!B29</f>
        <v>4</v>
      </c>
      <c r="E29" s="19">
        <f>IF(D29=0,"",B29/D29-1)</f>
        <v>0</v>
      </c>
      <c r="F29" s="17" t="s">
        <v>124</v>
      </c>
      <c r="G29" s="18" t="s">
        <v>125</v>
      </c>
    </row>
    <row r="30" ht="20" customHeight="1" spans="1:7" x14ac:dyDescent="0.25">
      <c r="A30" s="8" t="s">
        <v>62</v>
      </c>
      <c r="B30" s="8"/>
      <c r="C30" s="8"/>
      <c r="D30" s="8"/>
      <c r="E30" s="8"/>
      <c r="F30" s="8"/>
      <c r="G30" s="8"/>
    </row>
    <row r="31" spans="1:7" x14ac:dyDescent="0.25">
      <c r="A31" s="9" t="s">
        <v>63</v>
      </c>
      <c r="B31" s="16">
        <f>Base!B31</f>
        <v>50</v>
      </c>
      <c r="C31" s="10" t="s">
        <v>37</v>
      </c>
      <c r="D31" s="10">
        <f>Base!B31</f>
        <v>50</v>
      </c>
      <c r="E31" s="19">
        <f>IF(D31=0,"",B31/D31-1)</f>
        <v>0</v>
      </c>
      <c r="F31" s="17" t="s">
        <v>126</v>
      </c>
      <c r="G31" s="18" t="s">
        <v>127</v>
      </c>
    </row>
    <row r="32" spans="1:7" x14ac:dyDescent="0.25">
      <c r="A32" s="9" t="s">
        <v>64</v>
      </c>
      <c r="B32" s="16">
        <f>Base!B32</f>
        <v>5</v>
      </c>
      <c r="C32" s="10" t="s">
        <v>35</v>
      </c>
      <c r="D32" s="10">
        <f>Base!B32</f>
        <v>5</v>
      </c>
      <c r="E32" s="19">
        <f>IF(D32=0,"",B32/D32-1)</f>
        <v>0</v>
      </c>
      <c r="F32" s="17" t="s">
        <v>128</v>
      </c>
      <c r="G32" s="18" t="s">
        <v>129</v>
      </c>
    </row>
    <row r="33" spans="1:7" x14ac:dyDescent="0.25">
      <c r="A33" s="9" t="s">
        <v>65</v>
      </c>
      <c r="B33" s="16">
        <f>Base!B33</f>
        <v>8</v>
      </c>
      <c r="C33" s="10" t="s">
        <v>66</v>
      </c>
      <c r="D33" s="10">
        <f>Base!B33</f>
        <v>8</v>
      </c>
      <c r="E33" s="19">
        <f>IF(D33=0,"",B33/D33-1)</f>
        <v>0</v>
      </c>
      <c r="F33" s="17" t="s">
        <v>130</v>
      </c>
      <c r="G33" s="18" t="s">
        <v>131</v>
      </c>
    </row>
    <row r="34" spans="1:7" x14ac:dyDescent="0.25">
      <c r="A34" s="9" t="s">
        <v>67</v>
      </c>
      <c r="B34" s="16">
        <f>Base!B34</f>
        <v>0.5</v>
      </c>
      <c r="C34" s="10" t="s">
        <v>68</v>
      </c>
      <c r="D34" s="10">
        <f>Base!B34</f>
        <v>0.5</v>
      </c>
      <c r="E34" s="19">
        <f>IF(D34=0,"",B34/D34-1)</f>
        <v>0</v>
      </c>
      <c r="F34" s="17" t="s">
        <v>132</v>
      </c>
      <c r="G34" s="18" t="s">
        <v>133</v>
      </c>
    </row>
    <row r="35" spans="1:7" x14ac:dyDescent="0.25">
      <c r="A35" s="9" t="s">
        <v>69</v>
      </c>
      <c r="B35" s="16">
        <f>Base!B35</f>
        <v>5</v>
      </c>
      <c r="C35" s="10" t="s">
        <v>70</v>
      </c>
      <c r="D35" s="10">
        <f>Base!B35</f>
        <v>5</v>
      </c>
      <c r="E35" s="19">
        <f>IF(D35=0,"",B35/D35-1)</f>
        <v>0</v>
      </c>
      <c r="F35" s="17" t="s">
        <v>134</v>
      </c>
      <c r="G35" s="18" t="s">
        <v>135</v>
      </c>
    </row>
    <row r="36" ht="20" customHeight="1" spans="1:7" x14ac:dyDescent="0.25">
      <c r="A36" s="8" t="s">
        <v>71</v>
      </c>
      <c r="B36" s="8"/>
      <c r="C36" s="8"/>
      <c r="D36" s="8"/>
      <c r="E36" s="8"/>
      <c r="F36" s="8"/>
      <c r="G36" s="8"/>
    </row>
    <row r="37" spans="1:7" x14ac:dyDescent="0.25">
      <c r="A37" s="9" t="s">
        <v>72</v>
      </c>
      <c r="B37" s="16">
        <f>Base!B37</f>
        <v>600</v>
      </c>
      <c r="C37" s="10" t="s">
        <v>73</v>
      </c>
      <c r="D37" s="10">
        <f>Base!B37</f>
        <v>600</v>
      </c>
      <c r="E37" s="19">
        <f>IF(D37=0,"",B37/D37-1)</f>
        <v>0</v>
      </c>
      <c r="F37" s="17" t="s">
        <v>136</v>
      </c>
      <c r="G37" s="18" t="s">
        <v>137</v>
      </c>
    </row>
    <row r="38" spans="1:7" x14ac:dyDescent="0.25">
      <c r="A38" s="9" t="s">
        <v>74</v>
      </c>
      <c r="B38" s="16">
        <f>Base!B38</f>
        <v>1000</v>
      </c>
      <c r="C38" s="10" t="s">
        <v>73</v>
      </c>
      <c r="D38" s="10">
        <f>Base!B38</f>
        <v>1000</v>
      </c>
      <c r="E38" s="19">
        <f>IF(D38=0,"",B38/D38-1)</f>
        <v>0</v>
      </c>
      <c r="F38" s="17" t="s">
        <v>138</v>
      </c>
      <c r="G38" s="18" t="s">
        <v>139</v>
      </c>
    </row>
    <row r="39" spans="1:7" x14ac:dyDescent="0.25">
      <c r="A39" s="9" t="s">
        <v>75</v>
      </c>
      <c r="B39" s="16">
        <f>Base!B39</f>
        <v>10</v>
      </c>
      <c r="C39" s="10" t="s">
        <v>35</v>
      </c>
      <c r="D39" s="10">
        <f>Base!B39</f>
        <v>10</v>
      </c>
      <c r="E39" s="19">
        <f>IF(D39=0,"",B39/D39-1)</f>
        <v>0</v>
      </c>
      <c r="F39" s="17" t="s">
        <v>140</v>
      </c>
      <c r="G39" s="18" t="s">
        <v>141</v>
      </c>
    </row>
    <row r="40" spans="1:7" x14ac:dyDescent="0.25">
      <c r="A40" s="9" t="s">
        <v>76</v>
      </c>
      <c r="B40" s="16">
        <f>Base!B40</f>
        <v>3</v>
      </c>
      <c r="C40" s="10" t="s">
        <v>35</v>
      </c>
      <c r="D40" s="10">
        <f>Base!B40</f>
        <v>3</v>
      </c>
      <c r="E40" s="19">
        <f>IF(D40=0,"",B40/D40-1)</f>
        <v>0</v>
      </c>
      <c r="F40" s="17" t="s">
        <v>142</v>
      </c>
      <c r="G40" s="18" t="s">
        <v>143</v>
      </c>
    </row>
    <row r="41" spans="1:7" x14ac:dyDescent="0.25">
      <c r="A41" s="9" t="s">
        <v>77</v>
      </c>
      <c r="B41" s="16">
        <f>Base!B41</f>
        <v>2</v>
      </c>
      <c r="C41" s="10" t="s">
        <v>35</v>
      </c>
      <c r="D41" s="10">
        <f>Base!B41</f>
        <v>2</v>
      </c>
      <c r="E41" s="19">
        <f>IF(D41=0,"",B41/D41-1)</f>
        <v>0</v>
      </c>
      <c r="F41" s="17" t="s">
        <v>144</v>
      </c>
      <c r="G41" s="18" t="s">
        <v>145</v>
      </c>
    </row>
    <row r="42" spans="1:7" x14ac:dyDescent="0.25">
      <c r="A42" s="9" t="s">
        <v>78</v>
      </c>
      <c r="B42" s="16">
        <f>Base!B42</f>
        <v>2</v>
      </c>
      <c r="C42" s="10" t="s">
        <v>68</v>
      </c>
      <c r="D42" s="10">
        <f>Base!B42</f>
        <v>2</v>
      </c>
      <c r="E42" s="19">
        <f>IF(D42=0,"",B42/D42-1)</f>
        <v>0</v>
      </c>
      <c r="F42" s="17" t="s">
        <v>146</v>
      </c>
      <c r="G42" s="18" t="s">
        <v>147</v>
      </c>
    </row>
    <row r="43" spans="1:7" x14ac:dyDescent="0.25">
      <c r="A43" s="9" t="s">
        <v>79</v>
      </c>
      <c r="B43" s="16">
        <f>Base!B43</f>
        <v>110</v>
      </c>
      <c r="C43" s="10" t="s">
        <v>54</v>
      </c>
      <c r="D43" s="10">
        <f>Base!B43</f>
        <v>110</v>
      </c>
      <c r="E43" s="19">
        <f>IF(D43=0,"",B43/D43-1)</f>
        <v>0</v>
      </c>
      <c r="F43" s="17" t="s">
        <v>148</v>
      </c>
      <c r="G43" s="18" t="s">
        <v>149</v>
      </c>
    </row>
  </sheetData>
  <mergeCells count="8">
    <mergeCell ref="A1:G1"/>
    <mergeCell ref="A2:G2"/>
    <mergeCell ref="A5:G5"/>
    <mergeCell ref="A13:G13"/>
    <mergeCell ref="A19:G19"/>
    <mergeCell ref="A24:G24"/>
    <mergeCell ref="A30:G30"/>
    <mergeCell ref="A36:G36"/>
  </mergeCells>
  <conditionalFormatting sqref="B5:B43">
    <cfRule type="expression" dxfId="1" priority="1">
      <formula>AND(ISNUMBER(D5),B5&lt;&gt;D5)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1A"/>
  </sheetPr>
  <dimension ref="A1:G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8" customWidth="1"/>
    <col min="4" max="4" width="10" customWidth="1"/>
    <col min="5" max="5" width="12" customWidth="1"/>
    <col min="6" max="6" width="90" customWidth="1"/>
    <col min="7" max="7" width="22" customWidth="1"/>
  </cols>
  <sheetData>
    <row r="1" ht="28" customHeight="1" spans="1:7" x14ac:dyDescent="0.25">
      <c r="A1" s="4" t="s">
        <v>27</v>
      </c>
      <c r="B1" s="4"/>
      <c r="C1" s="4"/>
      <c r="D1" s="4"/>
      <c r="E1" s="4"/>
      <c r="F1" s="4"/>
      <c r="G1" s="4"/>
    </row>
    <row r="2" spans="1:7" x14ac:dyDescent="0.25">
      <c r="A2" s="5" t="s">
        <v>150</v>
      </c>
      <c r="B2" s="5"/>
      <c r="C2" s="5"/>
      <c r="D2" s="5"/>
      <c r="E2" s="5"/>
      <c r="F2" s="5"/>
      <c r="G2" s="5"/>
    </row>
    <row r="4" spans="1:7" x14ac:dyDescent="0.25">
      <c r="A4" s="14" t="s">
        <v>23</v>
      </c>
      <c r="B4" s="14" t="s">
        <v>81</v>
      </c>
      <c r="C4" s="14" t="s">
        <v>24</v>
      </c>
      <c r="D4" s="14" t="s">
        <v>25</v>
      </c>
      <c r="E4" s="14" t="s">
        <v>151</v>
      </c>
      <c r="F4" s="14" t="s">
        <v>82</v>
      </c>
      <c r="G4" s="15" t="s">
        <v>83</v>
      </c>
    </row>
    <row r="5" ht="20" customHeight="1" spans="1:7" x14ac:dyDescent="0.25">
      <c r="A5" s="8" t="s">
        <v>30</v>
      </c>
      <c r="B5" s="8"/>
      <c r="C5" s="8"/>
      <c r="D5" s="8"/>
      <c r="E5" s="8"/>
      <c r="F5" s="8"/>
      <c r="G5" s="8"/>
    </row>
    <row r="6" spans="1:7" x14ac:dyDescent="0.25">
      <c r="A6" s="9" t="s">
        <v>31</v>
      </c>
      <c r="B6" s="16">
        <f>Base!B6</f>
        <v>100</v>
      </c>
      <c r="C6" s="10" t="s">
        <v>32</v>
      </c>
      <c r="D6" s="10">
        <f>Base!B6</f>
        <v>100</v>
      </c>
      <c r="E6" s="19">
        <f>IF(D6=0,"",B6/D6-1)</f>
        <v>0</v>
      </c>
      <c r="F6" s="17" t="s">
        <v>84</v>
      </c>
      <c r="G6" s="18" t="s">
        <v>85</v>
      </c>
    </row>
    <row r="7" spans="1:7" x14ac:dyDescent="0.25">
      <c r="A7" s="9" t="s">
        <v>33</v>
      </c>
      <c r="B7" s="16">
        <f>Base!B7</f>
        <v>50</v>
      </c>
      <c r="C7" s="10" t="s">
        <v>32</v>
      </c>
      <c r="D7" s="10">
        <f>Base!B7</f>
        <v>50</v>
      </c>
      <c r="E7" s="19">
        <f>IF(D7=0,"",B7/D7-1)</f>
        <v>0</v>
      </c>
      <c r="F7" s="17" t="s">
        <v>86</v>
      </c>
      <c r="G7" s="18" t="s">
        <v>87</v>
      </c>
    </row>
    <row r="8" spans="1:7" x14ac:dyDescent="0.25">
      <c r="A8" s="9" t="s">
        <v>34</v>
      </c>
      <c r="B8" s="16">
        <f>Base!B8</f>
        <v>5</v>
      </c>
      <c r="C8" s="10" t="s">
        <v>35</v>
      </c>
      <c r="D8" s="10">
        <f>Base!B8</f>
        <v>5</v>
      </c>
      <c r="E8" s="19">
        <f>IF(D8=0,"",B8/D8-1)</f>
        <v>0</v>
      </c>
      <c r="F8" s="17" t="s">
        <v>88</v>
      </c>
      <c r="G8" s="18" t="s">
        <v>89</v>
      </c>
    </row>
    <row r="9" spans="1:7" x14ac:dyDescent="0.25">
      <c r="A9" s="9" t="s">
        <v>36</v>
      </c>
      <c r="B9" s="16">
        <f>Base!B9</f>
        <v>5</v>
      </c>
      <c r="C9" s="10" t="s">
        <v>37</v>
      </c>
      <c r="D9" s="10">
        <f>Base!B9</f>
        <v>5</v>
      </c>
      <c r="E9" s="19">
        <f>IF(D9=0,"",B9/D9-1)</f>
        <v>0</v>
      </c>
      <c r="F9" s="17" t="s">
        <v>90</v>
      </c>
      <c r="G9" s="18" t="s">
        <v>91</v>
      </c>
    </row>
    <row r="10" spans="1:7" x14ac:dyDescent="0.25">
      <c r="A10" s="9" t="s">
        <v>38</v>
      </c>
      <c r="B10" s="16">
        <f>Base!B10</f>
        <v>2</v>
      </c>
      <c r="C10" s="10" t="s">
        <v>39</v>
      </c>
      <c r="D10" s="10">
        <f>Base!B10</f>
        <v>2</v>
      </c>
      <c r="E10" s="19">
        <f>IF(D10=0,"",B10/D10-1)</f>
        <v>0</v>
      </c>
      <c r="F10" s="17" t="s">
        <v>92</v>
      </c>
      <c r="G10" s="18" t="s">
        <v>93</v>
      </c>
    </row>
    <row r="11" spans="1:7" x14ac:dyDescent="0.25">
      <c r="A11" s="13" t="s">
        <v>40</v>
      </c>
      <c r="B11" s="16">
        <f>Base!B11</f>
        <v>5</v>
      </c>
      <c r="C11" s="10" t="s">
        <v>35</v>
      </c>
      <c r="D11" s="10">
        <f>Base!B11</f>
        <v>5</v>
      </c>
      <c r="E11" s="19">
        <f>IF(D11=0,"",B11/D11-1)</f>
        <v>0</v>
      </c>
      <c r="F11" s="17" t="s">
        <v>94</v>
      </c>
      <c r="G11" s="18" t="s">
        <v>95</v>
      </c>
    </row>
    <row r="12" spans="1:7" x14ac:dyDescent="0.25">
      <c r="A12" s="13" t="s">
        <v>41</v>
      </c>
      <c r="B12" s="16">
        <f>Base!B12</f>
        <v>1</v>
      </c>
      <c r="C12" s="10" t="s">
        <v>39</v>
      </c>
      <c r="D12" s="10">
        <f>Base!B12</f>
        <v>1</v>
      </c>
      <c r="E12" s="19">
        <f>IF(D12=0,"",B12/D12-1)</f>
        <v>0</v>
      </c>
      <c r="F12" s="17" t="s">
        <v>96</v>
      </c>
      <c r="G12" s="18" t="s">
        <v>97</v>
      </c>
    </row>
    <row r="13" ht="20" customHeight="1" spans="1:7" x14ac:dyDescent="0.25">
      <c r="A13" s="8" t="s">
        <v>42</v>
      </c>
      <c r="B13" s="8"/>
      <c r="C13" s="8"/>
      <c r="D13" s="8"/>
      <c r="E13" s="8"/>
      <c r="F13" s="8"/>
      <c r="G13" s="8"/>
    </row>
    <row r="14" spans="1:7" x14ac:dyDescent="0.25">
      <c r="A14" s="9" t="s">
        <v>43</v>
      </c>
      <c r="B14" s="16">
        <f>Base!B14</f>
        <v>5</v>
      </c>
      <c r="C14" s="10" t="s">
        <v>32</v>
      </c>
      <c r="D14" s="10">
        <f>Base!B14</f>
        <v>5</v>
      </c>
      <c r="E14" s="19">
        <f>IF(D14=0,"",B14/D14-1)</f>
        <v>0</v>
      </c>
      <c r="F14" s="17" t="s">
        <v>98</v>
      </c>
      <c r="G14" s="18" t="s">
        <v>99</v>
      </c>
    </row>
    <row r="15" spans="1:7" x14ac:dyDescent="0.25">
      <c r="A15" s="9" t="s">
        <v>44</v>
      </c>
      <c r="B15" s="16">
        <f>Base!B15</f>
        <v>20</v>
      </c>
      <c r="C15" s="10" t="s">
        <v>45</v>
      </c>
      <c r="D15" s="10">
        <f>Base!B15</f>
        <v>20</v>
      </c>
      <c r="E15" s="19">
        <f>IF(D15=0,"",B15/D15-1)</f>
        <v>0</v>
      </c>
      <c r="F15" s="17" t="s">
        <v>100</v>
      </c>
      <c r="G15" s="18" t="s">
        <v>101</v>
      </c>
    </row>
    <row r="16" spans="1:7" x14ac:dyDescent="0.25">
      <c r="A16" s="13" t="s">
        <v>46</v>
      </c>
      <c r="B16" s="16">
        <f>Base!B16</f>
        <v>0.1</v>
      </c>
      <c r="C16" s="10" t="s">
        <v>35</v>
      </c>
      <c r="D16" s="10">
        <f>Base!B16</f>
        <v>0.1</v>
      </c>
      <c r="E16" s="19">
        <f>IF(D16=0,"",B16/D16-1)</f>
        <v>0</v>
      </c>
      <c r="F16" s="17" t="s">
        <v>102</v>
      </c>
      <c r="G16" s="18" t="s">
        <v>103</v>
      </c>
    </row>
    <row r="17" spans="1:7" x14ac:dyDescent="0.25">
      <c r="A17" s="13" t="s">
        <v>47</v>
      </c>
      <c r="B17" s="16">
        <f>Base!B17</f>
        <v>1</v>
      </c>
      <c r="C17" s="10" t="s">
        <v>35</v>
      </c>
      <c r="D17" s="10">
        <f>Base!B17</f>
        <v>1</v>
      </c>
      <c r="E17" s="19">
        <f>IF(D17=0,"",B17/D17-1)</f>
        <v>0</v>
      </c>
      <c r="F17" s="17" t="s">
        <v>104</v>
      </c>
      <c r="G17" s="18" t="s">
        <v>105</v>
      </c>
    </row>
    <row r="18" spans="1:7" x14ac:dyDescent="0.25">
      <c r="A18" s="13" t="s">
        <v>48</v>
      </c>
      <c r="B18" s="16">
        <f>Base!B18</f>
        <v>8</v>
      </c>
      <c r="C18" s="10" t="s">
        <v>49</v>
      </c>
      <c r="D18" s="10">
        <f>Base!B18</f>
        <v>8</v>
      </c>
      <c r="E18" s="19">
        <f>IF(D18=0,"",B18/D18-1)</f>
        <v>0</v>
      </c>
      <c r="F18" s="17" t="s">
        <v>106</v>
      </c>
      <c r="G18" s="18" t="s">
        <v>107</v>
      </c>
    </row>
    <row r="19" ht="20" customHeight="1" spans="1:7" x14ac:dyDescent="0.25">
      <c r="A19" s="8" t="s">
        <v>50</v>
      </c>
      <c r="B19" s="8"/>
      <c r="C19" s="8"/>
      <c r="D19" s="8"/>
      <c r="E19" s="8"/>
      <c r="F19" s="8"/>
      <c r="G19" s="8"/>
    </row>
    <row r="20" spans="1:7" x14ac:dyDescent="0.25">
      <c r="A20" s="9" t="s">
        <v>51</v>
      </c>
      <c r="B20" s="16">
        <f>Base!B20</f>
        <v>60</v>
      </c>
      <c r="C20" s="10" t="s">
        <v>32</v>
      </c>
      <c r="D20" s="10">
        <f>Base!B20</f>
        <v>60</v>
      </c>
      <c r="E20" s="19">
        <f>IF(D20=0,"",B20/D20-1)</f>
        <v>0</v>
      </c>
      <c r="F20" s="17" t="s">
        <v>108</v>
      </c>
      <c r="G20" s="18" t="s">
        <v>109</v>
      </c>
    </row>
    <row r="21" spans="1:7" x14ac:dyDescent="0.25">
      <c r="A21" s="9" t="s">
        <v>52</v>
      </c>
      <c r="B21" s="16">
        <f>Base!B21</f>
        <v>20</v>
      </c>
      <c r="C21" s="10" t="s">
        <v>45</v>
      </c>
      <c r="D21" s="10">
        <f>Base!B21</f>
        <v>20</v>
      </c>
      <c r="E21" s="19">
        <f>IF(D21=0,"",B21/D21-1)</f>
        <v>0</v>
      </c>
      <c r="F21" s="17" t="s">
        <v>110</v>
      </c>
      <c r="G21" s="18" t="s">
        <v>111</v>
      </c>
    </row>
    <row r="22" spans="1:7" x14ac:dyDescent="0.25">
      <c r="A22" s="13" t="s">
        <v>53</v>
      </c>
      <c r="B22" s="16">
        <f>Base!B22</f>
        <v>3000</v>
      </c>
      <c r="C22" s="10" t="s">
        <v>54</v>
      </c>
      <c r="D22" s="10">
        <f>Base!B22</f>
        <v>3000</v>
      </c>
      <c r="E22" s="19">
        <f>IF(D22=0,"",B22/D22-1)</f>
        <v>0</v>
      </c>
      <c r="F22" s="17" t="s">
        <v>112</v>
      </c>
      <c r="G22" s="18" t="s">
        <v>113</v>
      </c>
    </row>
    <row r="23" spans="1:7" x14ac:dyDescent="0.25">
      <c r="A23" s="13" t="s">
        <v>55</v>
      </c>
      <c r="B23" s="16">
        <f>Base!B23</f>
        <v>2</v>
      </c>
      <c r="C23" s="10" t="s">
        <v>35</v>
      </c>
      <c r="D23" s="10">
        <f>Base!B23</f>
        <v>2</v>
      </c>
      <c r="E23" s="19">
        <f>IF(D23=0,"",B23/D23-1)</f>
        <v>0</v>
      </c>
      <c r="F23" s="17" t="s">
        <v>114</v>
      </c>
      <c r="G23" s="18" t="s">
        <v>115</v>
      </c>
    </row>
    <row r="24" ht="20" customHeight="1" spans="1:7" x14ac:dyDescent="0.25">
      <c r="A24" s="8" t="s">
        <v>56</v>
      </c>
      <c r="B24" s="8"/>
      <c r="C24" s="8"/>
      <c r="D24" s="8"/>
      <c r="E24" s="8"/>
      <c r="F24" s="8"/>
      <c r="G24" s="8"/>
    </row>
    <row r="25" spans="1:7" x14ac:dyDescent="0.25">
      <c r="A25" s="9" t="s">
        <v>57</v>
      </c>
      <c r="B25" s="16">
        <f>Base!B25</f>
        <v>15</v>
      </c>
      <c r="C25" s="10" t="s">
        <v>37</v>
      </c>
      <c r="D25" s="10">
        <f>Base!B25</f>
        <v>15</v>
      </c>
      <c r="E25" s="19">
        <f>IF(D25=0,"",B25/D25-1)</f>
        <v>0</v>
      </c>
      <c r="F25" s="17" t="s">
        <v>116</v>
      </c>
      <c r="G25" s="18" t="s">
        <v>117</v>
      </c>
    </row>
    <row r="26" spans="1:7" x14ac:dyDescent="0.25">
      <c r="A26" s="9" t="s">
        <v>58</v>
      </c>
      <c r="B26" s="16">
        <f>Base!B26</f>
        <v>300</v>
      </c>
      <c r="C26" s="10" t="s">
        <v>54</v>
      </c>
      <c r="D26" s="10">
        <f>Base!B26</f>
        <v>300</v>
      </c>
      <c r="E26" s="19">
        <f>IF(D26=0,"",B26/D26-1)</f>
        <v>0</v>
      </c>
      <c r="F26" s="17" t="s">
        <v>118</v>
      </c>
      <c r="G26" s="18" t="s">
        <v>119</v>
      </c>
    </row>
    <row r="27" spans="1:7" x14ac:dyDescent="0.25">
      <c r="A27" s="9" t="s">
        <v>59</v>
      </c>
      <c r="B27" s="16">
        <f>Base!B27</f>
        <v>5</v>
      </c>
      <c r="C27" s="10" t="s">
        <v>35</v>
      </c>
      <c r="D27" s="10">
        <f>Base!B27</f>
        <v>5</v>
      </c>
      <c r="E27" s="19">
        <f>IF(D27=0,"",B27/D27-1)</f>
        <v>0</v>
      </c>
      <c r="F27" s="17" t="s">
        <v>120</v>
      </c>
      <c r="G27" s="18" t="s">
        <v>121</v>
      </c>
    </row>
    <row r="28" spans="1:7" x14ac:dyDescent="0.25">
      <c r="A28" s="13" t="s">
        <v>60</v>
      </c>
      <c r="B28" s="16">
        <f>Base!B28</f>
        <v>10</v>
      </c>
      <c r="C28" s="10" t="s">
        <v>35</v>
      </c>
      <c r="D28" s="10">
        <f>Base!B28</f>
        <v>10</v>
      </c>
      <c r="E28" s="19">
        <f>IF(D28=0,"",B28/D28-1)</f>
        <v>0</v>
      </c>
      <c r="F28" s="17" t="s">
        <v>122</v>
      </c>
      <c r="G28" s="18" t="s">
        <v>123</v>
      </c>
    </row>
    <row r="29" spans="1:7" x14ac:dyDescent="0.25">
      <c r="A29" s="13" t="s">
        <v>61</v>
      </c>
      <c r="B29" s="16">
        <f>Base!B29</f>
        <v>4</v>
      </c>
      <c r="C29" s="10" t="s">
        <v>35</v>
      </c>
      <c r="D29" s="10">
        <f>Base!B29</f>
        <v>4</v>
      </c>
      <c r="E29" s="19">
        <f>IF(D29=0,"",B29/D29-1)</f>
        <v>0</v>
      </c>
      <c r="F29" s="17" t="s">
        <v>124</v>
      </c>
      <c r="G29" s="18" t="s">
        <v>125</v>
      </c>
    </row>
    <row r="30" ht="20" customHeight="1" spans="1:7" x14ac:dyDescent="0.25">
      <c r="A30" s="8" t="s">
        <v>62</v>
      </c>
      <c r="B30" s="8"/>
      <c r="C30" s="8"/>
      <c r="D30" s="8"/>
      <c r="E30" s="8"/>
      <c r="F30" s="8"/>
      <c r="G30" s="8"/>
    </row>
    <row r="31" spans="1:7" x14ac:dyDescent="0.25">
      <c r="A31" s="9" t="s">
        <v>63</v>
      </c>
      <c r="B31" s="16">
        <f>Base!B31</f>
        <v>50</v>
      </c>
      <c r="C31" s="10" t="s">
        <v>37</v>
      </c>
      <c r="D31" s="10">
        <f>Base!B31</f>
        <v>50</v>
      </c>
      <c r="E31" s="19">
        <f>IF(D31=0,"",B31/D31-1)</f>
        <v>0</v>
      </c>
      <c r="F31" s="17" t="s">
        <v>126</v>
      </c>
      <c r="G31" s="18" t="s">
        <v>127</v>
      </c>
    </row>
    <row r="32" spans="1:7" x14ac:dyDescent="0.25">
      <c r="A32" s="9" t="s">
        <v>64</v>
      </c>
      <c r="B32" s="16">
        <f>Base!B32</f>
        <v>5</v>
      </c>
      <c r="C32" s="10" t="s">
        <v>35</v>
      </c>
      <c r="D32" s="10">
        <f>Base!B32</f>
        <v>5</v>
      </c>
      <c r="E32" s="19">
        <f>IF(D32=0,"",B32/D32-1)</f>
        <v>0</v>
      </c>
      <c r="F32" s="17" t="s">
        <v>128</v>
      </c>
      <c r="G32" s="18" t="s">
        <v>129</v>
      </c>
    </row>
    <row r="33" spans="1:7" x14ac:dyDescent="0.25">
      <c r="A33" s="9" t="s">
        <v>65</v>
      </c>
      <c r="B33" s="16">
        <f>Base!B33</f>
        <v>8</v>
      </c>
      <c r="C33" s="10" t="s">
        <v>66</v>
      </c>
      <c r="D33" s="10">
        <f>Base!B33</f>
        <v>8</v>
      </c>
      <c r="E33" s="19">
        <f>IF(D33=0,"",B33/D33-1)</f>
        <v>0</v>
      </c>
      <c r="F33" s="17" t="s">
        <v>130</v>
      </c>
      <c r="G33" s="18" t="s">
        <v>131</v>
      </c>
    </row>
    <row r="34" spans="1:7" x14ac:dyDescent="0.25">
      <c r="A34" s="9" t="s">
        <v>67</v>
      </c>
      <c r="B34" s="16">
        <f>Base!B34</f>
        <v>0.5</v>
      </c>
      <c r="C34" s="10" t="s">
        <v>68</v>
      </c>
      <c r="D34" s="10">
        <f>Base!B34</f>
        <v>0.5</v>
      </c>
      <c r="E34" s="19">
        <f>IF(D34=0,"",B34/D34-1)</f>
        <v>0</v>
      </c>
      <c r="F34" s="17" t="s">
        <v>132</v>
      </c>
      <c r="G34" s="18" t="s">
        <v>133</v>
      </c>
    </row>
    <row r="35" spans="1:7" x14ac:dyDescent="0.25">
      <c r="A35" s="9" t="s">
        <v>69</v>
      </c>
      <c r="B35" s="16">
        <f>Base!B35</f>
        <v>5</v>
      </c>
      <c r="C35" s="10" t="s">
        <v>70</v>
      </c>
      <c r="D35" s="10">
        <f>Base!B35</f>
        <v>5</v>
      </c>
      <c r="E35" s="19">
        <f>IF(D35=0,"",B35/D35-1)</f>
        <v>0</v>
      </c>
      <c r="F35" s="17" t="s">
        <v>134</v>
      </c>
      <c r="G35" s="18" t="s">
        <v>135</v>
      </c>
    </row>
    <row r="36" ht="20" customHeight="1" spans="1:7" x14ac:dyDescent="0.25">
      <c r="A36" s="8" t="s">
        <v>71</v>
      </c>
      <c r="B36" s="8"/>
      <c r="C36" s="8"/>
      <c r="D36" s="8"/>
      <c r="E36" s="8"/>
      <c r="F36" s="8"/>
      <c r="G36" s="8"/>
    </row>
    <row r="37" spans="1:7" x14ac:dyDescent="0.25">
      <c r="A37" s="9" t="s">
        <v>72</v>
      </c>
      <c r="B37" s="16">
        <f>Base!B37</f>
        <v>600</v>
      </c>
      <c r="C37" s="10" t="s">
        <v>73</v>
      </c>
      <c r="D37" s="10">
        <f>Base!B37</f>
        <v>600</v>
      </c>
      <c r="E37" s="19">
        <f>IF(D37=0,"",B37/D37-1)</f>
        <v>0</v>
      </c>
      <c r="F37" s="17" t="s">
        <v>136</v>
      </c>
      <c r="G37" s="18" t="s">
        <v>137</v>
      </c>
    </row>
    <row r="38" spans="1:7" x14ac:dyDescent="0.25">
      <c r="A38" s="9" t="s">
        <v>74</v>
      </c>
      <c r="B38" s="16">
        <f>Base!B38</f>
        <v>1000</v>
      </c>
      <c r="C38" s="10" t="s">
        <v>73</v>
      </c>
      <c r="D38" s="10">
        <f>Base!B38</f>
        <v>1000</v>
      </c>
      <c r="E38" s="19">
        <f>IF(D38=0,"",B38/D38-1)</f>
        <v>0</v>
      </c>
      <c r="F38" s="17" t="s">
        <v>138</v>
      </c>
      <c r="G38" s="18" t="s">
        <v>139</v>
      </c>
    </row>
    <row r="39" spans="1:7" x14ac:dyDescent="0.25">
      <c r="A39" s="9" t="s">
        <v>75</v>
      </c>
      <c r="B39" s="16">
        <f>Base!B39</f>
        <v>10</v>
      </c>
      <c r="C39" s="10" t="s">
        <v>35</v>
      </c>
      <c r="D39" s="10">
        <f>Base!B39</f>
        <v>10</v>
      </c>
      <c r="E39" s="19">
        <f>IF(D39=0,"",B39/D39-1)</f>
        <v>0</v>
      </c>
      <c r="F39" s="17" t="s">
        <v>140</v>
      </c>
      <c r="G39" s="18" t="s">
        <v>141</v>
      </c>
    </row>
    <row r="40" spans="1:7" x14ac:dyDescent="0.25">
      <c r="A40" s="9" t="s">
        <v>76</v>
      </c>
      <c r="B40" s="16">
        <f>Base!B40</f>
        <v>3</v>
      </c>
      <c r="C40" s="10" t="s">
        <v>35</v>
      </c>
      <c r="D40" s="10">
        <f>Base!B40</f>
        <v>3</v>
      </c>
      <c r="E40" s="19">
        <f>IF(D40=0,"",B40/D40-1)</f>
        <v>0</v>
      </c>
      <c r="F40" s="17" t="s">
        <v>142</v>
      </c>
      <c r="G40" s="18" t="s">
        <v>143</v>
      </c>
    </row>
    <row r="41" spans="1:7" x14ac:dyDescent="0.25">
      <c r="A41" s="9" t="s">
        <v>77</v>
      </c>
      <c r="B41" s="16">
        <f>Base!B41</f>
        <v>2</v>
      </c>
      <c r="C41" s="10" t="s">
        <v>35</v>
      </c>
      <c r="D41" s="10">
        <f>Base!B41</f>
        <v>2</v>
      </c>
      <c r="E41" s="19">
        <f>IF(D41=0,"",B41/D41-1)</f>
        <v>0</v>
      </c>
      <c r="F41" s="17" t="s">
        <v>144</v>
      </c>
      <c r="G41" s="18" t="s">
        <v>145</v>
      </c>
    </row>
    <row r="42" spans="1:7" x14ac:dyDescent="0.25">
      <c r="A42" s="9" t="s">
        <v>78</v>
      </c>
      <c r="B42" s="16">
        <f>Base!B42</f>
        <v>2</v>
      </c>
      <c r="C42" s="10" t="s">
        <v>68</v>
      </c>
      <c r="D42" s="10">
        <f>Base!B42</f>
        <v>2</v>
      </c>
      <c r="E42" s="19">
        <f>IF(D42=0,"",B42/D42-1)</f>
        <v>0</v>
      </c>
      <c r="F42" s="17" t="s">
        <v>146</v>
      </c>
      <c r="G42" s="18" t="s">
        <v>147</v>
      </c>
    </row>
    <row r="43" spans="1:7" x14ac:dyDescent="0.25">
      <c r="A43" s="9" t="s">
        <v>79</v>
      </c>
      <c r="B43" s="16">
        <f>Base!B43</f>
        <v>110</v>
      </c>
      <c r="C43" s="10" t="s">
        <v>54</v>
      </c>
      <c r="D43" s="10">
        <f>Base!B43</f>
        <v>110</v>
      </c>
      <c r="E43" s="19">
        <f>IF(D43=0,"",B43/D43-1)</f>
        <v>0</v>
      </c>
      <c r="F43" s="17" t="s">
        <v>148</v>
      </c>
      <c r="G43" s="18" t="s">
        <v>149</v>
      </c>
    </row>
  </sheetData>
  <mergeCells count="8">
    <mergeCell ref="A1:G1"/>
    <mergeCell ref="A2:G2"/>
    <mergeCell ref="A5:G5"/>
    <mergeCell ref="A13:G13"/>
    <mergeCell ref="A19:G19"/>
    <mergeCell ref="A24:G24"/>
    <mergeCell ref="A30:G30"/>
    <mergeCell ref="A36:G36"/>
  </mergeCells>
  <conditionalFormatting sqref="B5:B43">
    <cfRule type="expression" dxfId="2" priority="1">
      <formula>AND(ISNUMBER(D5),B5&lt;&gt;D5)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1A"/>
  </sheetPr>
  <dimension ref="A1:G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8" customWidth="1"/>
    <col min="4" max="4" width="10" customWidth="1"/>
    <col min="5" max="5" width="12" customWidth="1"/>
    <col min="6" max="6" width="90" customWidth="1"/>
    <col min="7" max="7" width="22" customWidth="1"/>
  </cols>
  <sheetData>
    <row r="1" ht="28" customHeight="1" spans="1:7" x14ac:dyDescent="0.25">
      <c r="A1" s="4" t="s">
        <v>28</v>
      </c>
      <c r="B1" s="4"/>
      <c r="C1" s="4"/>
      <c r="D1" s="4"/>
      <c r="E1" s="4"/>
      <c r="F1" s="4"/>
      <c r="G1" s="4"/>
    </row>
    <row r="2" spans="1:7" x14ac:dyDescent="0.25">
      <c r="A2" s="5" t="s">
        <v>150</v>
      </c>
      <c r="B2" s="5"/>
      <c r="C2" s="5"/>
      <c r="D2" s="5"/>
      <c r="E2" s="5"/>
      <c r="F2" s="5"/>
      <c r="G2" s="5"/>
    </row>
    <row r="4" spans="1:7" x14ac:dyDescent="0.25">
      <c r="A4" s="14" t="s">
        <v>23</v>
      </c>
      <c r="B4" s="14" t="s">
        <v>81</v>
      </c>
      <c r="C4" s="14" t="s">
        <v>24</v>
      </c>
      <c r="D4" s="14" t="s">
        <v>25</v>
      </c>
      <c r="E4" s="14" t="s">
        <v>151</v>
      </c>
      <c r="F4" s="14" t="s">
        <v>82</v>
      </c>
      <c r="G4" s="15" t="s">
        <v>83</v>
      </c>
    </row>
    <row r="5" ht="20" customHeight="1" spans="1:7" x14ac:dyDescent="0.25">
      <c r="A5" s="8" t="s">
        <v>30</v>
      </c>
      <c r="B5" s="8"/>
      <c r="C5" s="8"/>
      <c r="D5" s="8"/>
      <c r="E5" s="8"/>
      <c r="F5" s="8"/>
      <c r="G5" s="8"/>
    </row>
    <row r="6" spans="1:7" x14ac:dyDescent="0.25">
      <c r="A6" s="9" t="s">
        <v>31</v>
      </c>
      <c r="B6" s="16">
        <f>Base!B6</f>
        <v>100</v>
      </c>
      <c r="C6" s="10" t="s">
        <v>32</v>
      </c>
      <c r="D6" s="10">
        <f>Base!B6</f>
        <v>100</v>
      </c>
      <c r="E6" s="19">
        <f>IF(D6=0,"",B6/D6-1)</f>
        <v>0</v>
      </c>
      <c r="F6" s="17" t="s">
        <v>84</v>
      </c>
      <c r="G6" s="18" t="s">
        <v>85</v>
      </c>
    </row>
    <row r="7" spans="1:7" x14ac:dyDescent="0.25">
      <c r="A7" s="9" t="s">
        <v>33</v>
      </c>
      <c r="B7" s="16">
        <f>Base!B7</f>
        <v>50</v>
      </c>
      <c r="C7" s="10" t="s">
        <v>32</v>
      </c>
      <c r="D7" s="10">
        <f>Base!B7</f>
        <v>50</v>
      </c>
      <c r="E7" s="19">
        <f>IF(D7=0,"",B7/D7-1)</f>
        <v>0</v>
      </c>
      <c r="F7" s="17" t="s">
        <v>86</v>
      </c>
      <c r="G7" s="18" t="s">
        <v>87</v>
      </c>
    </row>
    <row r="8" spans="1:7" x14ac:dyDescent="0.25">
      <c r="A8" s="9" t="s">
        <v>34</v>
      </c>
      <c r="B8" s="16">
        <f>Base!B8</f>
        <v>5</v>
      </c>
      <c r="C8" s="10" t="s">
        <v>35</v>
      </c>
      <c r="D8" s="10">
        <f>Base!B8</f>
        <v>5</v>
      </c>
      <c r="E8" s="19">
        <f>IF(D8=0,"",B8/D8-1)</f>
        <v>0</v>
      </c>
      <c r="F8" s="17" t="s">
        <v>88</v>
      </c>
      <c r="G8" s="18" t="s">
        <v>89</v>
      </c>
    </row>
    <row r="9" spans="1:7" x14ac:dyDescent="0.25">
      <c r="A9" s="9" t="s">
        <v>36</v>
      </c>
      <c r="B9" s="16">
        <f>Base!B9</f>
        <v>5</v>
      </c>
      <c r="C9" s="10" t="s">
        <v>37</v>
      </c>
      <c r="D9" s="10">
        <f>Base!B9</f>
        <v>5</v>
      </c>
      <c r="E9" s="19">
        <f>IF(D9=0,"",B9/D9-1)</f>
        <v>0</v>
      </c>
      <c r="F9" s="17" t="s">
        <v>90</v>
      </c>
      <c r="G9" s="18" t="s">
        <v>91</v>
      </c>
    </row>
    <row r="10" spans="1:7" x14ac:dyDescent="0.25">
      <c r="A10" s="9" t="s">
        <v>38</v>
      </c>
      <c r="B10" s="16">
        <f>Base!B10</f>
        <v>2</v>
      </c>
      <c r="C10" s="10" t="s">
        <v>39</v>
      </c>
      <c r="D10" s="10">
        <f>Base!B10</f>
        <v>2</v>
      </c>
      <c r="E10" s="19">
        <f>IF(D10=0,"",B10/D10-1)</f>
        <v>0</v>
      </c>
      <c r="F10" s="17" t="s">
        <v>92</v>
      </c>
      <c r="G10" s="18" t="s">
        <v>93</v>
      </c>
    </row>
    <row r="11" spans="1:7" x14ac:dyDescent="0.25">
      <c r="A11" s="13" t="s">
        <v>40</v>
      </c>
      <c r="B11" s="16">
        <f>Base!B11</f>
        <v>5</v>
      </c>
      <c r="C11" s="10" t="s">
        <v>35</v>
      </c>
      <c r="D11" s="10">
        <f>Base!B11</f>
        <v>5</v>
      </c>
      <c r="E11" s="19">
        <f>IF(D11=0,"",B11/D11-1)</f>
        <v>0</v>
      </c>
      <c r="F11" s="17" t="s">
        <v>94</v>
      </c>
      <c r="G11" s="18" t="s">
        <v>95</v>
      </c>
    </row>
    <row r="12" spans="1:7" x14ac:dyDescent="0.25">
      <c r="A12" s="13" t="s">
        <v>41</v>
      </c>
      <c r="B12" s="16">
        <f>Base!B12</f>
        <v>1</v>
      </c>
      <c r="C12" s="10" t="s">
        <v>39</v>
      </c>
      <c r="D12" s="10">
        <f>Base!B12</f>
        <v>1</v>
      </c>
      <c r="E12" s="19">
        <f>IF(D12=0,"",B12/D12-1)</f>
        <v>0</v>
      </c>
      <c r="F12" s="17" t="s">
        <v>96</v>
      </c>
      <c r="G12" s="18" t="s">
        <v>97</v>
      </c>
    </row>
    <row r="13" ht="20" customHeight="1" spans="1:7" x14ac:dyDescent="0.25">
      <c r="A13" s="8" t="s">
        <v>42</v>
      </c>
      <c r="B13" s="8"/>
      <c r="C13" s="8"/>
      <c r="D13" s="8"/>
      <c r="E13" s="8"/>
      <c r="F13" s="8"/>
      <c r="G13" s="8"/>
    </row>
    <row r="14" spans="1:7" x14ac:dyDescent="0.25">
      <c r="A14" s="9" t="s">
        <v>43</v>
      </c>
      <c r="B14" s="16">
        <f>Base!B14</f>
        <v>5</v>
      </c>
      <c r="C14" s="10" t="s">
        <v>32</v>
      </c>
      <c r="D14" s="10">
        <f>Base!B14</f>
        <v>5</v>
      </c>
      <c r="E14" s="19">
        <f>IF(D14=0,"",B14/D14-1)</f>
        <v>0</v>
      </c>
      <c r="F14" s="17" t="s">
        <v>98</v>
      </c>
      <c r="G14" s="18" t="s">
        <v>99</v>
      </c>
    </row>
    <row r="15" spans="1:7" x14ac:dyDescent="0.25">
      <c r="A15" s="9" t="s">
        <v>44</v>
      </c>
      <c r="B15" s="16">
        <f>Base!B15</f>
        <v>20</v>
      </c>
      <c r="C15" s="10" t="s">
        <v>45</v>
      </c>
      <c r="D15" s="10">
        <f>Base!B15</f>
        <v>20</v>
      </c>
      <c r="E15" s="19">
        <f>IF(D15=0,"",B15/D15-1)</f>
        <v>0</v>
      </c>
      <c r="F15" s="17" t="s">
        <v>100</v>
      </c>
      <c r="G15" s="18" t="s">
        <v>101</v>
      </c>
    </row>
    <row r="16" spans="1:7" x14ac:dyDescent="0.25">
      <c r="A16" s="13" t="s">
        <v>46</v>
      </c>
      <c r="B16" s="16">
        <f>Base!B16</f>
        <v>0.1</v>
      </c>
      <c r="C16" s="10" t="s">
        <v>35</v>
      </c>
      <c r="D16" s="10">
        <f>Base!B16</f>
        <v>0.1</v>
      </c>
      <c r="E16" s="19">
        <f>IF(D16=0,"",B16/D16-1)</f>
        <v>0</v>
      </c>
      <c r="F16" s="17" t="s">
        <v>102</v>
      </c>
      <c r="G16" s="18" t="s">
        <v>103</v>
      </c>
    </row>
    <row r="17" spans="1:7" x14ac:dyDescent="0.25">
      <c r="A17" s="13" t="s">
        <v>47</v>
      </c>
      <c r="B17" s="16">
        <f>Base!B17</f>
        <v>1</v>
      </c>
      <c r="C17" s="10" t="s">
        <v>35</v>
      </c>
      <c r="D17" s="10">
        <f>Base!B17</f>
        <v>1</v>
      </c>
      <c r="E17" s="19">
        <f>IF(D17=0,"",B17/D17-1)</f>
        <v>0</v>
      </c>
      <c r="F17" s="17" t="s">
        <v>104</v>
      </c>
      <c r="G17" s="18" t="s">
        <v>105</v>
      </c>
    </row>
    <row r="18" spans="1:7" x14ac:dyDescent="0.25">
      <c r="A18" s="13" t="s">
        <v>48</v>
      </c>
      <c r="B18" s="16">
        <f>Base!B18</f>
        <v>8</v>
      </c>
      <c r="C18" s="10" t="s">
        <v>49</v>
      </c>
      <c r="D18" s="10">
        <f>Base!B18</f>
        <v>8</v>
      </c>
      <c r="E18" s="19">
        <f>IF(D18=0,"",B18/D18-1)</f>
        <v>0</v>
      </c>
      <c r="F18" s="17" t="s">
        <v>106</v>
      </c>
      <c r="G18" s="18" t="s">
        <v>107</v>
      </c>
    </row>
    <row r="19" ht="20" customHeight="1" spans="1:7" x14ac:dyDescent="0.25">
      <c r="A19" s="8" t="s">
        <v>50</v>
      </c>
      <c r="B19" s="8"/>
      <c r="C19" s="8"/>
      <c r="D19" s="8"/>
      <c r="E19" s="8"/>
      <c r="F19" s="8"/>
      <c r="G19" s="8"/>
    </row>
    <row r="20" spans="1:7" x14ac:dyDescent="0.25">
      <c r="A20" s="9" t="s">
        <v>51</v>
      </c>
      <c r="B20" s="16">
        <f>Base!B20</f>
        <v>60</v>
      </c>
      <c r="C20" s="10" t="s">
        <v>32</v>
      </c>
      <c r="D20" s="10">
        <f>Base!B20</f>
        <v>60</v>
      </c>
      <c r="E20" s="19">
        <f>IF(D20=0,"",B20/D20-1)</f>
        <v>0</v>
      </c>
      <c r="F20" s="17" t="s">
        <v>108</v>
      </c>
      <c r="G20" s="18" t="s">
        <v>109</v>
      </c>
    </row>
    <row r="21" spans="1:7" x14ac:dyDescent="0.25">
      <c r="A21" s="9" t="s">
        <v>52</v>
      </c>
      <c r="B21" s="16">
        <f>Base!B21</f>
        <v>20</v>
      </c>
      <c r="C21" s="10" t="s">
        <v>45</v>
      </c>
      <c r="D21" s="10">
        <f>Base!B21</f>
        <v>20</v>
      </c>
      <c r="E21" s="19">
        <f>IF(D21=0,"",B21/D21-1)</f>
        <v>0</v>
      </c>
      <c r="F21" s="17" t="s">
        <v>110</v>
      </c>
      <c r="G21" s="18" t="s">
        <v>111</v>
      </c>
    </row>
    <row r="22" spans="1:7" x14ac:dyDescent="0.25">
      <c r="A22" s="13" t="s">
        <v>53</v>
      </c>
      <c r="B22" s="16">
        <f>Base!B22</f>
        <v>3000</v>
      </c>
      <c r="C22" s="10" t="s">
        <v>54</v>
      </c>
      <c r="D22" s="10">
        <f>Base!B22</f>
        <v>3000</v>
      </c>
      <c r="E22" s="19">
        <f>IF(D22=0,"",B22/D22-1)</f>
        <v>0</v>
      </c>
      <c r="F22" s="17" t="s">
        <v>112</v>
      </c>
      <c r="G22" s="18" t="s">
        <v>113</v>
      </c>
    </row>
    <row r="23" spans="1:7" x14ac:dyDescent="0.25">
      <c r="A23" s="13" t="s">
        <v>55</v>
      </c>
      <c r="B23" s="16">
        <f>Base!B23</f>
        <v>2</v>
      </c>
      <c r="C23" s="10" t="s">
        <v>35</v>
      </c>
      <c r="D23" s="10">
        <f>Base!B23</f>
        <v>2</v>
      </c>
      <c r="E23" s="19">
        <f>IF(D23=0,"",B23/D23-1)</f>
        <v>0</v>
      </c>
      <c r="F23" s="17" t="s">
        <v>114</v>
      </c>
      <c r="G23" s="18" t="s">
        <v>115</v>
      </c>
    </row>
    <row r="24" ht="20" customHeight="1" spans="1:7" x14ac:dyDescent="0.25">
      <c r="A24" s="8" t="s">
        <v>56</v>
      </c>
      <c r="B24" s="8"/>
      <c r="C24" s="8"/>
      <c r="D24" s="8"/>
      <c r="E24" s="8"/>
      <c r="F24" s="8"/>
      <c r="G24" s="8"/>
    </row>
    <row r="25" spans="1:7" x14ac:dyDescent="0.25">
      <c r="A25" s="9" t="s">
        <v>57</v>
      </c>
      <c r="B25" s="16">
        <f>Base!B25</f>
        <v>15</v>
      </c>
      <c r="C25" s="10" t="s">
        <v>37</v>
      </c>
      <c r="D25" s="10">
        <f>Base!B25</f>
        <v>15</v>
      </c>
      <c r="E25" s="19">
        <f>IF(D25=0,"",B25/D25-1)</f>
        <v>0</v>
      </c>
      <c r="F25" s="17" t="s">
        <v>116</v>
      </c>
      <c r="G25" s="18" t="s">
        <v>117</v>
      </c>
    </row>
    <row r="26" spans="1:7" x14ac:dyDescent="0.25">
      <c r="A26" s="9" t="s">
        <v>58</v>
      </c>
      <c r="B26" s="16">
        <f>Base!B26</f>
        <v>300</v>
      </c>
      <c r="C26" s="10" t="s">
        <v>54</v>
      </c>
      <c r="D26" s="10">
        <f>Base!B26</f>
        <v>300</v>
      </c>
      <c r="E26" s="19">
        <f>IF(D26=0,"",B26/D26-1)</f>
        <v>0</v>
      </c>
      <c r="F26" s="17" t="s">
        <v>118</v>
      </c>
      <c r="G26" s="18" t="s">
        <v>119</v>
      </c>
    </row>
    <row r="27" spans="1:7" x14ac:dyDescent="0.25">
      <c r="A27" s="9" t="s">
        <v>59</v>
      </c>
      <c r="B27" s="16">
        <f>Base!B27</f>
        <v>5</v>
      </c>
      <c r="C27" s="10" t="s">
        <v>35</v>
      </c>
      <c r="D27" s="10">
        <f>Base!B27</f>
        <v>5</v>
      </c>
      <c r="E27" s="19">
        <f>IF(D27=0,"",B27/D27-1)</f>
        <v>0</v>
      </c>
      <c r="F27" s="17" t="s">
        <v>120</v>
      </c>
      <c r="G27" s="18" t="s">
        <v>121</v>
      </c>
    </row>
    <row r="28" spans="1:7" x14ac:dyDescent="0.25">
      <c r="A28" s="13" t="s">
        <v>60</v>
      </c>
      <c r="B28" s="16">
        <f>Base!B28</f>
        <v>10</v>
      </c>
      <c r="C28" s="10" t="s">
        <v>35</v>
      </c>
      <c r="D28" s="10">
        <f>Base!B28</f>
        <v>10</v>
      </c>
      <c r="E28" s="19">
        <f>IF(D28=0,"",B28/D28-1)</f>
        <v>0</v>
      </c>
      <c r="F28" s="17" t="s">
        <v>122</v>
      </c>
      <c r="G28" s="18" t="s">
        <v>123</v>
      </c>
    </row>
    <row r="29" spans="1:7" x14ac:dyDescent="0.25">
      <c r="A29" s="13" t="s">
        <v>61</v>
      </c>
      <c r="B29" s="16">
        <f>Base!B29</f>
        <v>4</v>
      </c>
      <c r="C29" s="10" t="s">
        <v>35</v>
      </c>
      <c r="D29" s="10">
        <f>Base!B29</f>
        <v>4</v>
      </c>
      <c r="E29" s="19">
        <f>IF(D29=0,"",B29/D29-1)</f>
        <v>0</v>
      </c>
      <c r="F29" s="17" t="s">
        <v>124</v>
      </c>
      <c r="G29" s="18" t="s">
        <v>125</v>
      </c>
    </row>
    <row r="30" ht="20" customHeight="1" spans="1:7" x14ac:dyDescent="0.25">
      <c r="A30" s="8" t="s">
        <v>62</v>
      </c>
      <c r="B30" s="8"/>
      <c r="C30" s="8"/>
      <c r="D30" s="8"/>
      <c r="E30" s="8"/>
      <c r="F30" s="8"/>
      <c r="G30" s="8"/>
    </row>
    <row r="31" spans="1:7" x14ac:dyDescent="0.25">
      <c r="A31" s="9" t="s">
        <v>63</v>
      </c>
      <c r="B31" s="16">
        <f>Base!B31</f>
        <v>50</v>
      </c>
      <c r="C31" s="10" t="s">
        <v>37</v>
      </c>
      <c r="D31" s="10">
        <f>Base!B31</f>
        <v>50</v>
      </c>
      <c r="E31" s="19">
        <f>IF(D31=0,"",B31/D31-1)</f>
        <v>0</v>
      </c>
      <c r="F31" s="17" t="s">
        <v>126</v>
      </c>
      <c r="G31" s="18" t="s">
        <v>127</v>
      </c>
    </row>
    <row r="32" spans="1:7" x14ac:dyDescent="0.25">
      <c r="A32" s="9" t="s">
        <v>64</v>
      </c>
      <c r="B32" s="16">
        <f>Base!B32</f>
        <v>5</v>
      </c>
      <c r="C32" s="10" t="s">
        <v>35</v>
      </c>
      <c r="D32" s="10">
        <f>Base!B32</f>
        <v>5</v>
      </c>
      <c r="E32" s="19">
        <f>IF(D32=0,"",B32/D32-1)</f>
        <v>0</v>
      </c>
      <c r="F32" s="17" t="s">
        <v>128</v>
      </c>
      <c r="G32" s="18" t="s">
        <v>129</v>
      </c>
    </row>
    <row r="33" spans="1:7" x14ac:dyDescent="0.25">
      <c r="A33" s="9" t="s">
        <v>65</v>
      </c>
      <c r="B33" s="16">
        <f>Base!B33</f>
        <v>8</v>
      </c>
      <c r="C33" s="10" t="s">
        <v>66</v>
      </c>
      <c r="D33" s="10">
        <f>Base!B33</f>
        <v>8</v>
      </c>
      <c r="E33" s="19">
        <f>IF(D33=0,"",B33/D33-1)</f>
        <v>0</v>
      </c>
      <c r="F33" s="17" t="s">
        <v>130</v>
      </c>
      <c r="G33" s="18" t="s">
        <v>131</v>
      </c>
    </row>
    <row r="34" spans="1:7" x14ac:dyDescent="0.25">
      <c r="A34" s="9" t="s">
        <v>67</v>
      </c>
      <c r="B34" s="16">
        <f>Base!B34</f>
        <v>0.5</v>
      </c>
      <c r="C34" s="10" t="s">
        <v>68</v>
      </c>
      <c r="D34" s="10">
        <f>Base!B34</f>
        <v>0.5</v>
      </c>
      <c r="E34" s="19">
        <f>IF(D34=0,"",B34/D34-1)</f>
        <v>0</v>
      </c>
      <c r="F34" s="17" t="s">
        <v>132</v>
      </c>
      <c r="G34" s="18" t="s">
        <v>133</v>
      </c>
    </row>
    <row r="35" spans="1:7" x14ac:dyDescent="0.25">
      <c r="A35" s="9" t="s">
        <v>69</v>
      </c>
      <c r="B35" s="16">
        <f>Base!B35</f>
        <v>5</v>
      </c>
      <c r="C35" s="10" t="s">
        <v>70</v>
      </c>
      <c r="D35" s="10">
        <f>Base!B35</f>
        <v>5</v>
      </c>
      <c r="E35" s="19">
        <f>IF(D35=0,"",B35/D35-1)</f>
        <v>0</v>
      </c>
      <c r="F35" s="17" t="s">
        <v>134</v>
      </c>
      <c r="G35" s="18" t="s">
        <v>135</v>
      </c>
    </row>
    <row r="36" ht="20" customHeight="1" spans="1:7" x14ac:dyDescent="0.25">
      <c r="A36" s="8" t="s">
        <v>71</v>
      </c>
      <c r="B36" s="8"/>
      <c r="C36" s="8"/>
      <c r="D36" s="8"/>
      <c r="E36" s="8"/>
      <c r="F36" s="8"/>
      <c r="G36" s="8"/>
    </row>
    <row r="37" spans="1:7" x14ac:dyDescent="0.25">
      <c r="A37" s="9" t="s">
        <v>72</v>
      </c>
      <c r="B37" s="16">
        <f>Base!B37</f>
        <v>600</v>
      </c>
      <c r="C37" s="10" t="s">
        <v>73</v>
      </c>
      <c r="D37" s="10">
        <f>Base!B37</f>
        <v>600</v>
      </c>
      <c r="E37" s="19">
        <f>IF(D37=0,"",B37/D37-1)</f>
        <v>0</v>
      </c>
      <c r="F37" s="17" t="s">
        <v>136</v>
      </c>
      <c r="G37" s="18" t="s">
        <v>137</v>
      </c>
    </row>
    <row r="38" spans="1:7" x14ac:dyDescent="0.25">
      <c r="A38" s="9" t="s">
        <v>74</v>
      </c>
      <c r="B38" s="16">
        <f>Base!B38</f>
        <v>1000</v>
      </c>
      <c r="C38" s="10" t="s">
        <v>73</v>
      </c>
      <c r="D38" s="10">
        <f>Base!B38</f>
        <v>1000</v>
      </c>
      <c r="E38" s="19">
        <f>IF(D38=0,"",B38/D38-1)</f>
        <v>0</v>
      </c>
      <c r="F38" s="17" t="s">
        <v>138</v>
      </c>
      <c r="G38" s="18" t="s">
        <v>139</v>
      </c>
    </row>
    <row r="39" spans="1:7" x14ac:dyDescent="0.25">
      <c r="A39" s="9" t="s">
        <v>75</v>
      </c>
      <c r="B39" s="16">
        <f>Base!B39</f>
        <v>10</v>
      </c>
      <c r="C39" s="10" t="s">
        <v>35</v>
      </c>
      <c r="D39" s="10">
        <f>Base!B39</f>
        <v>10</v>
      </c>
      <c r="E39" s="19">
        <f>IF(D39=0,"",B39/D39-1)</f>
        <v>0</v>
      </c>
      <c r="F39" s="17" t="s">
        <v>140</v>
      </c>
      <c r="G39" s="18" t="s">
        <v>141</v>
      </c>
    </row>
    <row r="40" spans="1:7" x14ac:dyDescent="0.25">
      <c r="A40" s="9" t="s">
        <v>76</v>
      </c>
      <c r="B40" s="16">
        <f>Base!B40</f>
        <v>3</v>
      </c>
      <c r="C40" s="10" t="s">
        <v>35</v>
      </c>
      <c r="D40" s="10">
        <f>Base!B40</f>
        <v>3</v>
      </c>
      <c r="E40" s="19">
        <f>IF(D40=0,"",B40/D40-1)</f>
        <v>0</v>
      </c>
      <c r="F40" s="17" t="s">
        <v>142</v>
      </c>
      <c r="G40" s="18" t="s">
        <v>143</v>
      </c>
    </row>
    <row r="41" spans="1:7" x14ac:dyDescent="0.25">
      <c r="A41" s="9" t="s">
        <v>77</v>
      </c>
      <c r="B41" s="16">
        <f>Base!B41</f>
        <v>2</v>
      </c>
      <c r="C41" s="10" t="s">
        <v>35</v>
      </c>
      <c r="D41" s="10">
        <f>Base!B41</f>
        <v>2</v>
      </c>
      <c r="E41" s="19">
        <f>IF(D41=0,"",B41/D41-1)</f>
        <v>0</v>
      </c>
      <c r="F41" s="17" t="s">
        <v>144</v>
      </c>
      <c r="G41" s="18" t="s">
        <v>145</v>
      </c>
    </row>
    <row r="42" spans="1:7" x14ac:dyDescent="0.25">
      <c r="A42" s="9" t="s">
        <v>78</v>
      </c>
      <c r="B42" s="16">
        <f>Base!B42</f>
        <v>2</v>
      </c>
      <c r="C42" s="10" t="s">
        <v>68</v>
      </c>
      <c r="D42" s="10">
        <f>Base!B42</f>
        <v>2</v>
      </c>
      <c r="E42" s="19">
        <f>IF(D42=0,"",B42/D42-1)</f>
        <v>0</v>
      </c>
      <c r="F42" s="17" t="s">
        <v>146</v>
      </c>
      <c r="G42" s="18" t="s">
        <v>147</v>
      </c>
    </row>
    <row r="43" spans="1:7" x14ac:dyDescent="0.25">
      <c r="A43" s="9" t="s">
        <v>79</v>
      </c>
      <c r="B43" s="16">
        <f>Base!B43</f>
        <v>110</v>
      </c>
      <c r="C43" s="10" t="s">
        <v>54</v>
      </c>
      <c r="D43" s="10">
        <f>Base!B43</f>
        <v>110</v>
      </c>
      <c r="E43" s="19">
        <f>IF(D43=0,"",B43/D43-1)</f>
        <v>0</v>
      </c>
      <c r="F43" s="17" t="s">
        <v>148</v>
      </c>
      <c r="G43" s="18" t="s">
        <v>149</v>
      </c>
    </row>
  </sheetData>
  <mergeCells count="8">
    <mergeCell ref="A1:G1"/>
    <mergeCell ref="A2:G2"/>
    <mergeCell ref="A5:G5"/>
    <mergeCell ref="A13:G13"/>
    <mergeCell ref="A19:G19"/>
    <mergeCell ref="A24:G24"/>
    <mergeCell ref="A30:G30"/>
    <mergeCell ref="A36:G36"/>
  </mergeCells>
  <conditionalFormatting sqref="B5:B43">
    <cfRule type="expression" dxfId="3" priority="1">
      <formula>AND(ISNUMBER(D5),B5&lt;&gt;D5)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1A"/>
  </sheetPr>
  <dimension ref="A1:G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8" customWidth="1"/>
    <col min="4" max="4" width="10" customWidth="1"/>
    <col min="5" max="5" width="12" customWidth="1"/>
    <col min="6" max="6" width="90" customWidth="1"/>
    <col min="7" max="7" width="22" customWidth="1"/>
  </cols>
  <sheetData>
    <row r="1" ht="28" customHeight="1" spans="1:7" x14ac:dyDescent="0.25">
      <c r="A1" s="4" t="s">
        <v>29</v>
      </c>
      <c r="B1" s="4"/>
      <c r="C1" s="4"/>
      <c r="D1" s="4"/>
      <c r="E1" s="4"/>
      <c r="F1" s="4"/>
      <c r="G1" s="4"/>
    </row>
    <row r="2" spans="1:7" x14ac:dyDescent="0.25">
      <c r="A2" s="5" t="s">
        <v>150</v>
      </c>
      <c r="B2" s="5"/>
      <c r="C2" s="5"/>
      <c r="D2" s="5"/>
      <c r="E2" s="5"/>
      <c r="F2" s="5"/>
      <c r="G2" s="5"/>
    </row>
    <row r="4" spans="1:7" x14ac:dyDescent="0.25">
      <c r="A4" s="14" t="s">
        <v>23</v>
      </c>
      <c r="B4" s="14" t="s">
        <v>81</v>
      </c>
      <c r="C4" s="14" t="s">
        <v>24</v>
      </c>
      <c r="D4" s="14" t="s">
        <v>25</v>
      </c>
      <c r="E4" s="14" t="s">
        <v>151</v>
      </c>
      <c r="F4" s="14" t="s">
        <v>82</v>
      </c>
      <c r="G4" s="15" t="s">
        <v>83</v>
      </c>
    </row>
    <row r="5" ht="20" customHeight="1" spans="1:7" x14ac:dyDescent="0.25">
      <c r="A5" s="8" t="s">
        <v>30</v>
      </c>
      <c r="B5" s="8"/>
      <c r="C5" s="8"/>
      <c r="D5" s="8"/>
      <c r="E5" s="8"/>
      <c r="F5" s="8"/>
      <c r="G5" s="8"/>
    </row>
    <row r="6" spans="1:7" x14ac:dyDescent="0.25">
      <c r="A6" s="9" t="s">
        <v>31</v>
      </c>
      <c r="B6" s="16">
        <f>Base!B6</f>
        <v>100</v>
      </c>
      <c r="C6" s="10" t="s">
        <v>32</v>
      </c>
      <c r="D6" s="10">
        <f>Base!B6</f>
        <v>100</v>
      </c>
      <c r="E6" s="19">
        <f>IF(D6=0,"",B6/D6-1)</f>
        <v>0</v>
      </c>
      <c r="F6" s="17" t="s">
        <v>84</v>
      </c>
      <c r="G6" s="18" t="s">
        <v>85</v>
      </c>
    </row>
    <row r="7" spans="1:7" x14ac:dyDescent="0.25">
      <c r="A7" s="9" t="s">
        <v>33</v>
      </c>
      <c r="B7" s="16">
        <f>Base!B7</f>
        <v>50</v>
      </c>
      <c r="C7" s="10" t="s">
        <v>32</v>
      </c>
      <c r="D7" s="10">
        <f>Base!B7</f>
        <v>50</v>
      </c>
      <c r="E7" s="19">
        <f>IF(D7=0,"",B7/D7-1)</f>
        <v>0</v>
      </c>
      <c r="F7" s="17" t="s">
        <v>86</v>
      </c>
      <c r="G7" s="18" t="s">
        <v>87</v>
      </c>
    </row>
    <row r="8" spans="1:7" x14ac:dyDescent="0.25">
      <c r="A8" s="9" t="s">
        <v>34</v>
      </c>
      <c r="B8" s="16">
        <f>Base!B8</f>
        <v>5</v>
      </c>
      <c r="C8" s="10" t="s">
        <v>35</v>
      </c>
      <c r="D8" s="10">
        <f>Base!B8</f>
        <v>5</v>
      </c>
      <c r="E8" s="19">
        <f>IF(D8=0,"",B8/D8-1)</f>
        <v>0</v>
      </c>
      <c r="F8" s="17" t="s">
        <v>88</v>
      </c>
      <c r="G8" s="18" t="s">
        <v>89</v>
      </c>
    </row>
    <row r="9" spans="1:7" x14ac:dyDescent="0.25">
      <c r="A9" s="9" t="s">
        <v>36</v>
      </c>
      <c r="B9" s="16">
        <f>Base!B9</f>
        <v>5</v>
      </c>
      <c r="C9" s="10" t="s">
        <v>37</v>
      </c>
      <c r="D9" s="10">
        <f>Base!B9</f>
        <v>5</v>
      </c>
      <c r="E9" s="19">
        <f>IF(D9=0,"",B9/D9-1)</f>
        <v>0</v>
      </c>
      <c r="F9" s="17" t="s">
        <v>90</v>
      </c>
      <c r="G9" s="18" t="s">
        <v>91</v>
      </c>
    </row>
    <row r="10" spans="1:7" x14ac:dyDescent="0.25">
      <c r="A10" s="9" t="s">
        <v>38</v>
      </c>
      <c r="B10" s="16">
        <f>Base!B10</f>
        <v>2</v>
      </c>
      <c r="C10" s="10" t="s">
        <v>39</v>
      </c>
      <c r="D10" s="10">
        <f>Base!B10</f>
        <v>2</v>
      </c>
      <c r="E10" s="19">
        <f>IF(D10=0,"",B10/D10-1)</f>
        <v>0</v>
      </c>
      <c r="F10" s="17" t="s">
        <v>92</v>
      </c>
      <c r="G10" s="18" t="s">
        <v>93</v>
      </c>
    </row>
    <row r="11" spans="1:7" x14ac:dyDescent="0.25">
      <c r="A11" s="13" t="s">
        <v>40</v>
      </c>
      <c r="B11" s="16">
        <f>Base!B11</f>
        <v>5</v>
      </c>
      <c r="C11" s="10" t="s">
        <v>35</v>
      </c>
      <c r="D11" s="10">
        <f>Base!B11</f>
        <v>5</v>
      </c>
      <c r="E11" s="19">
        <f>IF(D11=0,"",B11/D11-1)</f>
        <v>0</v>
      </c>
      <c r="F11" s="17" t="s">
        <v>94</v>
      </c>
      <c r="G11" s="18" t="s">
        <v>95</v>
      </c>
    </row>
    <row r="12" spans="1:7" x14ac:dyDescent="0.25">
      <c r="A12" s="13" t="s">
        <v>41</v>
      </c>
      <c r="B12" s="16">
        <f>Base!B12</f>
        <v>1</v>
      </c>
      <c r="C12" s="10" t="s">
        <v>39</v>
      </c>
      <c r="D12" s="10">
        <f>Base!B12</f>
        <v>1</v>
      </c>
      <c r="E12" s="19">
        <f>IF(D12=0,"",B12/D12-1)</f>
        <v>0</v>
      </c>
      <c r="F12" s="17" t="s">
        <v>96</v>
      </c>
      <c r="G12" s="18" t="s">
        <v>97</v>
      </c>
    </row>
    <row r="13" ht="20" customHeight="1" spans="1:7" x14ac:dyDescent="0.25">
      <c r="A13" s="8" t="s">
        <v>42</v>
      </c>
      <c r="B13" s="8"/>
      <c r="C13" s="8"/>
      <c r="D13" s="8"/>
      <c r="E13" s="8"/>
      <c r="F13" s="8"/>
      <c r="G13" s="8"/>
    </row>
    <row r="14" spans="1:7" x14ac:dyDescent="0.25">
      <c r="A14" s="9" t="s">
        <v>43</v>
      </c>
      <c r="B14" s="16">
        <f>Base!B14</f>
        <v>5</v>
      </c>
      <c r="C14" s="10" t="s">
        <v>32</v>
      </c>
      <c r="D14" s="10">
        <f>Base!B14</f>
        <v>5</v>
      </c>
      <c r="E14" s="19">
        <f>IF(D14=0,"",B14/D14-1)</f>
        <v>0</v>
      </c>
      <c r="F14" s="17" t="s">
        <v>98</v>
      </c>
      <c r="G14" s="18" t="s">
        <v>99</v>
      </c>
    </row>
    <row r="15" spans="1:7" x14ac:dyDescent="0.25">
      <c r="A15" s="9" t="s">
        <v>44</v>
      </c>
      <c r="B15" s="16">
        <f>Base!B15</f>
        <v>20</v>
      </c>
      <c r="C15" s="10" t="s">
        <v>45</v>
      </c>
      <c r="D15" s="10">
        <f>Base!B15</f>
        <v>20</v>
      </c>
      <c r="E15" s="19">
        <f>IF(D15=0,"",B15/D15-1)</f>
        <v>0</v>
      </c>
      <c r="F15" s="17" t="s">
        <v>100</v>
      </c>
      <c r="G15" s="18" t="s">
        <v>101</v>
      </c>
    </row>
    <row r="16" spans="1:7" x14ac:dyDescent="0.25">
      <c r="A16" s="13" t="s">
        <v>46</v>
      </c>
      <c r="B16" s="16">
        <f>Base!B16</f>
        <v>0.1</v>
      </c>
      <c r="C16" s="10" t="s">
        <v>35</v>
      </c>
      <c r="D16" s="10">
        <f>Base!B16</f>
        <v>0.1</v>
      </c>
      <c r="E16" s="19">
        <f>IF(D16=0,"",B16/D16-1)</f>
        <v>0</v>
      </c>
      <c r="F16" s="17" t="s">
        <v>102</v>
      </c>
      <c r="G16" s="18" t="s">
        <v>103</v>
      </c>
    </row>
    <row r="17" spans="1:7" x14ac:dyDescent="0.25">
      <c r="A17" s="13" t="s">
        <v>47</v>
      </c>
      <c r="B17" s="16">
        <f>Base!B17</f>
        <v>1</v>
      </c>
      <c r="C17" s="10" t="s">
        <v>35</v>
      </c>
      <c r="D17" s="10">
        <f>Base!B17</f>
        <v>1</v>
      </c>
      <c r="E17" s="19">
        <f>IF(D17=0,"",B17/D17-1)</f>
        <v>0</v>
      </c>
      <c r="F17" s="17" t="s">
        <v>104</v>
      </c>
      <c r="G17" s="18" t="s">
        <v>105</v>
      </c>
    </row>
    <row r="18" spans="1:7" x14ac:dyDescent="0.25">
      <c r="A18" s="13" t="s">
        <v>48</v>
      </c>
      <c r="B18" s="16">
        <f>Base!B18</f>
        <v>8</v>
      </c>
      <c r="C18" s="10" t="s">
        <v>49</v>
      </c>
      <c r="D18" s="10">
        <f>Base!B18</f>
        <v>8</v>
      </c>
      <c r="E18" s="19">
        <f>IF(D18=0,"",B18/D18-1)</f>
        <v>0</v>
      </c>
      <c r="F18" s="17" t="s">
        <v>106</v>
      </c>
      <c r="G18" s="18" t="s">
        <v>107</v>
      </c>
    </row>
    <row r="19" ht="20" customHeight="1" spans="1:7" x14ac:dyDescent="0.25">
      <c r="A19" s="8" t="s">
        <v>50</v>
      </c>
      <c r="B19" s="8"/>
      <c r="C19" s="8"/>
      <c r="D19" s="8"/>
      <c r="E19" s="8"/>
      <c r="F19" s="8"/>
      <c r="G19" s="8"/>
    </row>
    <row r="20" spans="1:7" x14ac:dyDescent="0.25">
      <c r="A20" s="9" t="s">
        <v>51</v>
      </c>
      <c r="B20" s="16">
        <f>Base!B20</f>
        <v>60</v>
      </c>
      <c r="C20" s="10" t="s">
        <v>32</v>
      </c>
      <c r="D20" s="10">
        <f>Base!B20</f>
        <v>60</v>
      </c>
      <c r="E20" s="19">
        <f>IF(D20=0,"",B20/D20-1)</f>
        <v>0</v>
      </c>
      <c r="F20" s="17" t="s">
        <v>108</v>
      </c>
      <c r="G20" s="18" t="s">
        <v>109</v>
      </c>
    </row>
    <row r="21" spans="1:7" x14ac:dyDescent="0.25">
      <c r="A21" s="9" t="s">
        <v>52</v>
      </c>
      <c r="B21" s="16">
        <f>Base!B21</f>
        <v>20</v>
      </c>
      <c r="C21" s="10" t="s">
        <v>45</v>
      </c>
      <c r="D21" s="10">
        <f>Base!B21</f>
        <v>20</v>
      </c>
      <c r="E21" s="19">
        <f>IF(D21=0,"",B21/D21-1)</f>
        <v>0</v>
      </c>
      <c r="F21" s="17" t="s">
        <v>110</v>
      </c>
      <c r="G21" s="18" t="s">
        <v>111</v>
      </c>
    </row>
    <row r="22" spans="1:7" x14ac:dyDescent="0.25">
      <c r="A22" s="13" t="s">
        <v>53</v>
      </c>
      <c r="B22" s="16">
        <f>Base!B22</f>
        <v>3000</v>
      </c>
      <c r="C22" s="10" t="s">
        <v>54</v>
      </c>
      <c r="D22" s="10">
        <f>Base!B22</f>
        <v>3000</v>
      </c>
      <c r="E22" s="19">
        <f>IF(D22=0,"",B22/D22-1)</f>
        <v>0</v>
      </c>
      <c r="F22" s="17" t="s">
        <v>112</v>
      </c>
      <c r="G22" s="18" t="s">
        <v>113</v>
      </c>
    </row>
    <row r="23" spans="1:7" x14ac:dyDescent="0.25">
      <c r="A23" s="13" t="s">
        <v>55</v>
      </c>
      <c r="B23" s="16">
        <f>Base!B23</f>
        <v>2</v>
      </c>
      <c r="C23" s="10" t="s">
        <v>35</v>
      </c>
      <c r="D23" s="10">
        <f>Base!B23</f>
        <v>2</v>
      </c>
      <c r="E23" s="19">
        <f>IF(D23=0,"",B23/D23-1)</f>
        <v>0</v>
      </c>
      <c r="F23" s="17" t="s">
        <v>114</v>
      </c>
      <c r="G23" s="18" t="s">
        <v>115</v>
      </c>
    </row>
    <row r="24" ht="20" customHeight="1" spans="1:7" x14ac:dyDescent="0.25">
      <c r="A24" s="8" t="s">
        <v>56</v>
      </c>
      <c r="B24" s="8"/>
      <c r="C24" s="8"/>
      <c r="D24" s="8"/>
      <c r="E24" s="8"/>
      <c r="F24" s="8"/>
      <c r="G24" s="8"/>
    </row>
    <row r="25" spans="1:7" x14ac:dyDescent="0.25">
      <c r="A25" s="9" t="s">
        <v>57</v>
      </c>
      <c r="B25" s="16">
        <f>Base!B25</f>
        <v>15</v>
      </c>
      <c r="C25" s="10" t="s">
        <v>37</v>
      </c>
      <c r="D25" s="10">
        <f>Base!B25</f>
        <v>15</v>
      </c>
      <c r="E25" s="19">
        <f>IF(D25=0,"",B25/D25-1)</f>
        <v>0</v>
      </c>
      <c r="F25" s="17" t="s">
        <v>116</v>
      </c>
      <c r="G25" s="18" t="s">
        <v>117</v>
      </c>
    </row>
    <row r="26" spans="1:7" x14ac:dyDescent="0.25">
      <c r="A26" s="9" t="s">
        <v>58</v>
      </c>
      <c r="B26" s="16">
        <f>Base!B26</f>
        <v>300</v>
      </c>
      <c r="C26" s="10" t="s">
        <v>54</v>
      </c>
      <c r="D26" s="10">
        <f>Base!B26</f>
        <v>300</v>
      </c>
      <c r="E26" s="19">
        <f>IF(D26=0,"",B26/D26-1)</f>
        <v>0</v>
      </c>
      <c r="F26" s="17" t="s">
        <v>118</v>
      </c>
      <c r="G26" s="18" t="s">
        <v>119</v>
      </c>
    </row>
    <row r="27" spans="1:7" x14ac:dyDescent="0.25">
      <c r="A27" s="9" t="s">
        <v>59</v>
      </c>
      <c r="B27" s="16">
        <f>Base!B27</f>
        <v>5</v>
      </c>
      <c r="C27" s="10" t="s">
        <v>35</v>
      </c>
      <c r="D27" s="10">
        <f>Base!B27</f>
        <v>5</v>
      </c>
      <c r="E27" s="19">
        <f>IF(D27=0,"",B27/D27-1)</f>
        <v>0</v>
      </c>
      <c r="F27" s="17" t="s">
        <v>120</v>
      </c>
      <c r="G27" s="18" t="s">
        <v>121</v>
      </c>
    </row>
    <row r="28" spans="1:7" x14ac:dyDescent="0.25">
      <c r="A28" s="13" t="s">
        <v>60</v>
      </c>
      <c r="B28" s="16">
        <f>Base!B28</f>
        <v>10</v>
      </c>
      <c r="C28" s="10" t="s">
        <v>35</v>
      </c>
      <c r="D28" s="10">
        <f>Base!B28</f>
        <v>10</v>
      </c>
      <c r="E28" s="19">
        <f>IF(D28=0,"",B28/D28-1)</f>
        <v>0</v>
      </c>
      <c r="F28" s="17" t="s">
        <v>122</v>
      </c>
      <c r="G28" s="18" t="s">
        <v>123</v>
      </c>
    </row>
    <row r="29" spans="1:7" x14ac:dyDescent="0.25">
      <c r="A29" s="13" t="s">
        <v>61</v>
      </c>
      <c r="B29" s="16">
        <f>Base!B29</f>
        <v>4</v>
      </c>
      <c r="C29" s="10" t="s">
        <v>35</v>
      </c>
      <c r="D29" s="10">
        <f>Base!B29</f>
        <v>4</v>
      </c>
      <c r="E29" s="19">
        <f>IF(D29=0,"",B29/D29-1)</f>
        <v>0</v>
      </c>
      <c r="F29" s="17" t="s">
        <v>124</v>
      </c>
      <c r="G29" s="18" t="s">
        <v>125</v>
      </c>
    </row>
    <row r="30" ht="20" customHeight="1" spans="1:7" x14ac:dyDescent="0.25">
      <c r="A30" s="8" t="s">
        <v>62</v>
      </c>
      <c r="B30" s="8"/>
      <c r="C30" s="8"/>
      <c r="D30" s="8"/>
      <c r="E30" s="8"/>
      <c r="F30" s="8"/>
      <c r="G30" s="8"/>
    </row>
    <row r="31" spans="1:7" x14ac:dyDescent="0.25">
      <c r="A31" s="9" t="s">
        <v>63</v>
      </c>
      <c r="B31" s="16">
        <f>Base!B31</f>
        <v>50</v>
      </c>
      <c r="C31" s="10" t="s">
        <v>37</v>
      </c>
      <c r="D31" s="10">
        <f>Base!B31</f>
        <v>50</v>
      </c>
      <c r="E31" s="19">
        <f>IF(D31=0,"",B31/D31-1)</f>
        <v>0</v>
      </c>
      <c r="F31" s="17" t="s">
        <v>126</v>
      </c>
      <c r="G31" s="18" t="s">
        <v>127</v>
      </c>
    </row>
    <row r="32" spans="1:7" x14ac:dyDescent="0.25">
      <c r="A32" s="9" t="s">
        <v>64</v>
      </c>
      <c r="B32" s="16">
        <f>Base!B32</f>
        <v>5</v>
      </c>
      <c r="C32" s="10" t="s">
        <v>35</v>
      </c>
      <c r="D32" s="10">
        <f>Base!B32</f>
        <v>5</v>
      </c>
      <c r="E32" s="19">
        <f>IF(D32=0,"",B32/D32-1)</f>
        <v>0</v>
      </c>
      <c r="F32" s="17" t="s">
        <v>128</v>
      </c>
      <c r="G32" s="18" t="s">
        <v>129</v>
      </c>
    </row>
    <row r="33" spans="1:7" x14ac:dyDescent="0.25">
      <c r="A33" s="9" t="s">
        <v>65</v>
      </c>
      <c r="B33" s="16">
        <f>Base!B33</f>
        <v>8</v>
      </c>
      <c r="C33" s="10" t="s">
        <v>66</v>
      </c>
      <c r="D33" s="10">
        <f>Base!B33</f>
        <v>8</v>
      </c>
      <c r="E33" s="19">
        <f>IF(D33=0,"",B33/D33-1)</f>
        <v>0</v>
      </c>
      <c r="F33" s="17" t="s">
        <v>130</v>
      </c>
      <c r="G33" s="18" t="s">
        <v>131</v>
      </c>
    </row>
    <row r="34" spans="1:7" x14ac:dyDescent="0.25">
      <c r="A34" s="9" t="s">
        <v>67</v>
      </c>
      <c r="B34" s="16">
        <f>Base!B34</f>
        <v>0.5</v>
      </c>
      <c r="C34" s="10" t="s">
        <v>68</v>
      </c>
      <c r="D34" s="10">
        <f>Base!B34</f>
        <v>0.5</v>
      </c>
      <c r="E34" s="19">
        <f>IF(D34=0,"",B34/D34-1)</f>
        <v>0</v>
      </c>
      <c r="F34" s="17" t="s">
        <v>132</v>
      </c>
      <c r="G34" s="18" t="s">
        <v>133</v>
      </c>
    </row>
    <row r="35" spans="1:7" x14ac:dyDescent="0.25">
      <c r="A35" s="9" t="s">
        <v>69</v>
      </c>
      <c r="B35" s="16">
        <f>Base!B35</f>
        <v>5</v>
      </c>
      <c r="C35" s="10" t="s">
        <v>70</v>
      </c>
      <c r="D35" s="10">
        <f>Base!B35</f>
        <v>5</v>
      </c>
      <c r="E35" s="19">
        <f>IF(D35=0,"",B35/D35-1)</f>
        <v>0</v>
      </c>
      <c r="F35" s="17" t="s">
        <v>134</v>
      </c>
      <c r="G35" s="18" t="s">
        <v>135</v>
      </c>
    </row>
    <row r="36" ht="20" customHeight="1" spans="1:7" x14ac:dyDescent="0.25">
      <c r="A36" s="8" t="s">
        <v>71</v>
      </c>
      <c r="B36" s="8"/>
      <c r="C36" s="8"/>
      <c r="D36" s="8"/>
      <c r="E36" s="8"/>
      <c r="F36" s="8"/>
      <c r="G36" s="8"/>
    </row>
    <row r="37" spans="1:7" x14ac:dyDescent="0.25">
      <c r="A37" s="9" t="s">
        <v>72</v>
      </c>
      <c r="B37" s="16">
        <f>Base!B37</f>
        <v>600</v>
      </c>
      <c r="C37" s="10" t="s">
        <v>73</v>
      </c>
      <c r="D37" s="10">
        <f>Base!B37</f>
        <v>600</v>
      </c>
      <c r="E37" s="19">
        <f>IF(D37=0,"",B37/D37-1)</f>
        <v>0</v>
      </c>
      <c r="F37" s="17" t="s">
        <v>136</v>
      </c>
      <c r="G37" s="18" t="s">
        <v>137</v>
      </c>
    </row>
    <row r="38" spans="1:7" x14ac:dyDescent="0.25">
      <c r="A38" s="9" t="s">
        <v>74</v>
      </c>
      <c r="B38" s="16">
        <f>Base!B38</f>
        <v>1000</v>
      </c>
      <c r="C38" s="10" t="s">
        <v>73</v>
      </c>
      <c r="D38" s="10">
        <f>Base!B38</f>
        <v>1000</v>
      </c>
      <c r="E38" s="19">
        <f>IF(D38=0,"",B38/D38-1)</f>
        <v>0</v>
      </c>
      <c r="F38" s="17" t="s">
        <v>138</v>
      </c>
      <c r="G38" s="18" t="s">
        <v>139</v>
      </c>
    </row>
    <row r="39" spans="1:7" x14ac:dyDescent="0.25">
      <c r="A39" s="9" t="s">
        <v>75</v>
      </c>
      <c r="B39" s="16">
        <f>Base!B39</f>
        <v>10</v>
      </c>
      <c r="C39" s="10" t="s">
        <v>35</v>
      </c>
      <c r="D39" s="10">
        <f>Base!B39</f>
        <v>10</v>
      </c>
      <c r="E39" s="19">
        <f>IF(D39=0,"",B39/D39-1)</f>
        <v>0</v>
      </c>
      <c r="F39" s="17" t="s">
        <v>140</v>
      </c>
      <c r="G39" s="18" t="s">
        <v>141</v>
      </c>
    </row>
    <row r="40" spans="1:7" x14ac:dyDescent="0.25">
      <c r="A40" s="9" t="s">
        <v>76</v>
      </c>
      <c r="B40" s="16">
        <f>Base!B40</f>
        <v>3</v>
      </c>
      <c r="C40" s="10" t="s">
        <v>35</v>
      </c>
      <c r="D40" s="10">
        <f>Base!B40</f>
        <v>3</v>
      </c>
      <c r="E40" s="19">
        <f>IF(D40=0,"",B40/D40-1)</f>
        <v>0</v>
      </c>
      <c r="F40" s="17" t="s">
        <v>142</v>
      </c>
      <c r="G40" s="18" t="s">
        <v>143</v>
      </c>
    </row>
    <row r="41" spans="1:7" x14ac:dyDescent="0.25">
      <c r="A41" s="9" t="s">
        <v>77</v>
      </c>
      <c r="B41" s="16">
        <f>Base!B41</f>
        <v>2</v>
      </c>
      <c r="C41" s="10" t="s">
        <v>35</v>
      </c>
      <c r="D41" s="10">
        <f>Base!B41</f>
        <v>2</v>
      </c>
      <c r="E41" s="19">
        <f>IF(D41=0,"",B41/D41-1)</f>
        <v>0</v>
      </c>
      <c r="F41" s="17" t="s">
        <v>144</v>
      </c>
      <c r="G41" s="18" t="s">
        <v>145</v>
      </c>
    </row>
    <row r="42" spans="1:7" x14ac:dyDescent="0.25">
      <c r="A42" s="9" t="s">
        <v>78</v>
      </c>
      <c r="B42" s="16">
        <f>Base!B42</f>
        <v>2</v>
      </c>
      <c r="C42" s="10" t="s">
        <v>68</v>
      </c>
      <c r="D42" s="10">
        <f>Base!B42</f>
        <v>2</v>
      </c>
      <c r="E42" s="19">
        <f>IF(D42=0,"",B42/D42-1)</f>
        <v>0</v>
      </c>
      <c r="F42" s="17" t="s">
        <v>146</v>
      </c>
      <c r="G42" s="18" t="s">
        <v>147</v>
      </c>
    </row>
    <row r="43" spans="1:7" x14ac:dyDescent="0.25">
      <c r="A43" s="9" t="s">
        <v>79</v>
      </c>
      <c r="B43" s="16">
        <f>Base!B43</f>
        <v>110</v>
      </c>
      <c r="C43" s="10" t="s">
        <v>54</v>
      </c>
      <c r="D43" s="10">
        <f>Base!B43</f>
        <v>110</v>
      </c>
      <c r="E43" s="19">
        <f>IF(D43=0,"",B43/D43-1)</f>
        <v>0</v>
      </c>
      <c r="F43" s="17" t="s">
        <v>148</v>
      </c>
      <c r="G43" s="18" t="s">
        <v>149</v>
      </c>
    </row>
  </sheetData>
  <mergeCells count="8">
    <mergeCell ref="A1:G1"/>
    <mergeCell ref="A2:G2"/>
    <mergeCell ref="A5:G5"/>
    <mergeCell ref="A13:G13"/>
    <mergeCell ref="A19:G19"/>
    <mergeCell ref="A24:G24"/>
    <mergeCell ref="A30:G30"/>
    <mergeCell ref="A36:G36"/>
  </mergeCells>
  <conditionalFormatting sqref="B5:B43">
    <cfRule type="expression" dxfId="4" priority="1">
      <formula>AND(ISNUMBER(D5),B5&lt;&gt;D5)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6E8A"/>
  </sheetPr>
  <dimension ref="A1:E3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8" customWidth="1"/>
    <col min="4" max="4" width="90" customWidth="1"/>
    <col min="5" max="5" width="22" customWidth="1"/>
  </cols>
  <sheetData>
    <row r="1" ht="28" customHeight="1" spans="1:5" x14ac:dyDescent="0.25">
      <c r="A1" s="4" t="s">
        <v>152</v>
      </c>
      <c r="B1" s="4"/>
      <c r="C1" s="4"/>
      <c r="D1" s="4"/>
      <c r="E1" s="4"/>
    </row>
    <row r="2" spans="1:5" x14ac:dyDescent="0.25">
      <c r="A2" s="5" t="s">
        <v>153</v>
      </c>
      <c r="B2" s="5"/>
      <c r="C2" s="5"/>
      <c r="D2" s="5"/>
      <c r="E2" s="5"/>
    </row>
    <row r="4" spans="1:5" x14ac:dyDescent="0.25">
      <c r="A4" s="14" t="s">
        <v>23</v>
      </c>
      <c r="B4" s="14" t="s">
        <v>81</v>
      </c>
      <c r="C4" s="14" t="s">
        <v>24</v>
      </c>
      <c r="D4" s="14" t="s">
        <v>82</v>
      </c>
      <c r="E4" s="15" t="s">
        <v>83</v>
      </c>
    </row>
    <row r="5" ht="20" customHeight="1" spans="1:5" x14ac:dyDescent="0.25">
      <c r="A5" s="8" t="s">
        <v>154</v>
      </c>
      <c r="B5" s="8"/>
      <c r="C5" s="8"/>
      <c r="D5" s="8"/>
      <c r="E5" s="8"/>
    </row>
    <row r="6" spans="1:5" x14ac:dyDescent="0.25">
      <c r="A6" s="9" t="s">
        <v>31</v>
      </c>
      <c r="B6" s="16">
        <v>70</v>
      </c>
      <c r="C6" s="10" t="s">
        <v>32</v>
      </c>
      <c r="D6" s="17" t="s">
        <v>155</v>
      </c>
      <c r="E6" s="18" t="s">
        <v>85</v>
      </c>
    </row>
    <row r="7" spans="1:5" x14ac:dyDescent="0.25">
      <c r="A7" s="9" t="s">
        <v>72</v>
      </c>
      <c r="B7" s="16">
        <v>500</v>
      </c>
      <c r="C7" s="10" t="s">
        <v>73</v>
      </c>
      <c r="D7" s="17" t="s">
        <v>155</v>
      </c>
      <c r="E7" s="18" t="s">
        <v>156</v>
      </c>
    </row>
    <row r="8" spans="1:5" x14ac:dyDescent="0.25">
      <c r="A8" s="9" t="s">
        <v>79</v>
      </c>
      <c r="B8" s="16">
        <v>130</v>
      </c>
      <c r="C8" s="10" t="s">
        <v>54</v>
      </c>
      <c r="D8" s="17" t="s">
        <v>157</v>
      </c>
      <c r="E8" s="18" t="s">
        <v>149</v>
      </c>
    </row>
    <row r="9" spans="1:5" x14ac:dyDescent="0.25">
      <c r="A9" s="9" t="s">
        <v>158</v>
      </c>
      <c r="B9" s="16">
        <v>2000</v>
      </c>
      <c r="C9" s="10" t="s">
        <v>54</v>
      </c>
      <c r="D9" s="17" t="s">
        <v>159</v>
      </c>
      <c r="E9" s="18" t="s">
        <v>160</v>
      </c>
    </row>
    <row r="10" spans="1:5" x14ac:dyDescent="0.25">
      <c r="A10" s="9" t="s">
        <v>161</v>
      </c>
      <c r="B10" s="16">
        <v>3500</v>
      </c>
      <c r="C10" s="10" t="s">
        <v>54</v>
      </c>
      <c r="D10" s="17" t="s">
        <v>155</v>
      </c>
      <c r="E10" s="18" t="s">
        <v>162</v>
      </c>
    </row>
    <row r="11" spans="1:5" x14ac:dyDescent="0.25">
      <c r="A11" s="9" t="s">
        <v>163</v>
      </c>
      <c r="B11" s="16">
        <v>300</v>
      </c>
      <c r="C11" s="10" t="s">
        <v>32</v>
      </c>
      <c r="D11" s="17" t="s">
        <v>155</v>
      </c>
      <c r="E11" s="18" t="s">
        <v>32</v>
      </c>
    </row>
    <row r="12" ht="20" customHeight="1" spans="1:5" x14ac:dyDescent="0.25">
      <c r="A12" s="8" t="s">
        <v>164</v>
      </c>
      <c r="B12" s="8"/>
      <c r="C12" s="8"/>
      <c r="D12" s="8"/>
      <c r="E12" s="8"/>
    </row>
    <row r="13" spans="1:5" x14ac:dyDescent="0.25">
      <c r="A13" s="13" t="s">
        <v>165</v>
      </c>
      <c r="B13" s="16">
        <v>1800</v>
      </c>
      <c r="C13" s="10" t="s">
        <v>54</v>
      </c>
      <c r="D13" s="17" t="s">
        <v>166</v>
      </c>
      <c r="E13" s="18" t="s">
        <v>167</v>
      </c>
    </row>
    <row r="14" spans="1:5" x14ac:dyDescent="0.25">
      <c r="A14" s="13" t="s">
        <v>168</v>
      </c>
      <c r="B14" s="16">
        <v>10</v>
      </c>
      <c r="C14" s="10" t="s">
        <v>35</v>
      </c>
      <c r="D14" s="17" t="s">
        <v>169</v>
      </c>
      <c r="E14" s="18" t="s">
        <v>170</v>
      </c>
    </row>
    <row r="15" spans="1:5" x14ac:dyDescent="0.25">
      <c r="A15" s="13" t="s">
        <v>171</v>
      </c>
      <c r="B15" s="16">
        <v>18</v>
      </c>
      <c r="C15" s="10" t="s">
        <v>35</v>
      </c>
      <c r="D15" s="17" t="s">
        <v>155</v>
      </c>
      <c r="E15" s="18" t="s">
        <v>172</v>
      </c>
    </row>
    <row r="16" ht="20" customHeight="1" spans="1:5" x14ac:dyDescent="0.25">
      <c r="A16" s="8" t="s">
        <v>173</v>
      </c>
      <c r="B16" s="8"/>
      <c r="C16" s="8"/>
      <c r="D16" s="8"/>
      <c r="E16" s="8"/>
    </row>
    <row r="17" spans="1:5" x14ac:dyDescent="0.25">
      <c r="A17" s="9" t="s">
        <v>174</v>
      </c>
      <c r="B17" s="16">
        <v>10</v>
      </c>
      <c r="C17" s="10" t="s">
        <v>32</v>
      </c>
      <c r="D17" s="17" t="s">
        <v>155</v>
      </c>
      <c r="E17" s="18" t="s">
        <v>175</v>
      </c>
    </row>
    <row r="18" spans="1:5" x14ac:dyDescent="0.25">
      <c r="A18" s="9" t="s">
        <v>176</v>
      </c>
      <c r="B18" s="16">
        <v>1000</v>
      </c>
      <c r="C18" s="10" t="s">
        <v>54</v>
      </c>
      <c r="D18" s="17" t="s">
        <v>155</v>
      </c>
      <c r="E18" s="18" t="s">
        <v>177</v>
      </c>
    </row>
    <row r="19" spans="1:5" x14ac:dyDescent="0.25">
      <c r="A19" s="9" t="s">
        <v>178</v>
      </c>
      <c r="B19" s="16">
        <v>1.7</v>
      </c>
      <c r="C19" s="10" t="s">
        <v>35</v>
      </c>
      <c r="D19" s="17" t="s">
        <v>155</v>
      </c>
      <c r="E19" s="18" t="s">
        <v>179</v>
      </c>
    </row>
    <row r="20" spans="1:5" x14ac:dyDescent="0.25">
      <c r="A20" s="9" t="s">
        <v>180</v>
      </c>
      <c r="B20" s="16">
        <v>2.9</v>
      </c>
      <c r="C20" s="10" t="s">
        <v>35</v>
      </c>
      <c r="D20" s="17" t="s">
        <v>155</v>
      </c>
      <c r="E20" s="18" t="s">
        <v>181</v>
      </c>
    </row>
    <row r="21" spans="1:5" x14ac:dyDescent="0.25">
      <c r="A21" s="9" t="s">
        <v>182</v>
      </c>
      <c r="B21" s="16">
        <v>2.2</v>
      </c>
      <c r="C21" s="10" t="s">
        <v>183</v>
      </c>
      <c r="D21" s="17" t="s">
        <v>155</v>
      </c>
      <c r="E21" s="18" t="s">
        <v>184</v>
      </c>
    </row>
    <row r="22" ht="20" customHeight="1" spans="1:5" x14ac:dyDescent="0.25">
      <c r="A22" s="8" t="s">
        <v>185</v>
      </c>
      <c r="B22" s="8"/>
      <c r="C22" s="8"/>
      <c r="D22" s="8"/>
      <c r="E22" s="8"/>
    </row>
    <row r="23" spans="1:5" x14ac:dyDescent="0.25">
      <c r="A23" s="9" t="s">
        <v>186</v>
      </c>
      <c r="B23" s="16">
        <v>30</v>
      </c>
      <c r="C23" s="10" t="s">
        <v>32</v>
      </c>
      <c r="D23" s="17" t="s">
        <v>155</v>
      </c>
      <c r="E23" s="18" t="s">
        <v>187</v>
      </c>
    </row>
    <row r="24" spans="1:5" x14ac:dyDescent="0.25">
      <c r="A24" s="9" t="s">
        <v>55</v>
      </c>
      <c r="B24" s="16">
        <v>4</v>
      </c>
      <c r="C24" s="10" t="s">
        <v>35</v>
      </c>
      <c r="D24" s="17" t="s">
        <v>188</v>
      </c>
      <c r="E24" s="18" t="s">
        <v>189</v>
      </c>
    </row>
    <row r="25" spans="1:5" x14ac:dyDescent="0.25">
      <c r="A25" s="9" t="s">
        <v>190</v>
      </c>
      <c r="B25" s="16">
        <v>500</v>
      </c>
      <c r="C25" s="10" t="s">
        <v>54</v>
      </c>
      <c r="D25" s="17" t="s">
        <v>155</v>
      </c>
      <c r="E25" s="18" t="s">
        <v>191</v>
      </c>
    </row>
    <row r="26" spans="1:5" x14ac:dyDescent="0.25">
      <c r="A26" s="9" t="s">
        <v>192</v>
      </c>
      <c r="B26" s="16">
        <v>2000</v>
      </c>
      <c r="C26" s="10" t="s">
        <v>54</v>
      </c>
      <c r="D26" s="17" t="s">
        <v>155</v>
      </c>
      <c r="E26" s="18" t="s">
        <v>193</v>
      </c>
    </row>
    <row r="27" spans="1:5" x14ac:dyDescent="0.25">
      <c r="A27" s="9" t="s">
        <v>194</v>
      </c>
      <c r="B27" s="16">
        <v>60</v>
      </c>
      <c r="C27" s="10" t="s">
        <v>35</v>
      </c>
      <c r="D27" s="17" t="s">
        <v>155</v>
      </c>
      <c r="E27" s="18" t="s">
        <v>195</v>
      </c>
    </row>
    <row r="28" spans="1:5" x14ac:dyDescent="0.25">
      <c r="A28" s="9" t="s">
        <v>196</v>
      </c>
      <c r="B28" s="16">
        <v>20</v>
      </c>
      <c r="C28" s="10" t="s">
        <v>35</v>
      </c>
      <c r="D28" s="17" t="s">
        <v>197</v>
      </c>
      <c r="E28" s="18" t="s">
        <v>198</v>
      </c>
    </row>
    <row r="29" spans="1:5" x14ac:dyDescent="0.25">
      <c r="A29" s="9" t="s">
        <v>199</v>
      </c>
      <c r="B29" s="16">
        <v>1152</v>
      </c>
      <c r="C29" s="10" t="s">
        <v>73</v>
      </c>
      <c r="D29" s="17" t="s">
        <v>155</v>
      </c>
      <c r="E29" s="18" t="s">
        <v>200</v>
      </c>
    </row>
    <row r="30" spans="1:5" x14ac:dyDescent="0.25">
      <c r="A30" s="9" t="s">
        <v>201</v>
      </c>
      <c r="B30" s="16">
        <v>30</v>
      </c>
      <c r="C30" s="10" t="s">
        <v>202</v>
      </c>
      <c r="D30" s="17" t="s">
        <v>203</v>
      </c>
      <c r="E30" s="18" t="s">
        <v>204</v>
      </c>
    </row>
    <row r="31" ht="20" customHeight="1" spans="1:5" x14ac:dyDescent="0.25">
      <c r="A31" s="8" t="s">
        <v>205</v>
      </c>
      <c r="B31" s="8"/>
      <c r="C31" s="8"/>
      <c r="D31" s="8"/>
      <c r="E31" s="8"/>
    </row>
    <row r="32" spans="1:5" x14ac:dyDescent="0.25">
      <c r="A32" s="9" t="s">
        <v>206</v>
      </c>
      <c r="B32" s="16">
        <v>25</v>
      </c>
      <c r="C32" s="10" t="s">
        <v>32</v>
      </c>
      <c r="D32" s="17" t="s">
        <v>155</v>
      </c>
      <c r="E32" s="18" t="s">
        <v>207</v>
      </c>
    </row>
    <row r="33" spans="1:5" x14ac:dyDescent="0.25">
      <c r="A33" s="9" t="s">
        <v>208</v>
      </c>
      <c r="B33" s="16">
        <v>50</v>
      </c>
      <c r="C33" s="10" t="s">
        <v>32</v>
      </c>
      <c r="D33" s="17" t="s">
        <v>155</v>
      </c>
      <c r="E33" s="18" t="s">
        <v>209</v>
      </c>
    </row>
  </sheetData>
  <mergeCells count="7">
    <mergeCell ref="A1:E1"/>
    <mergeCell ref="A2:E2"/>
    <mergeCell ref="A5:E5"/>
    <mergeCell ref="A12:E12"/>
    <mergeCell ref="A16:E16"/>
    <mergeCell ref="A22:E22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6E8A"/>
  </sheetPr>
  <dimension ref="A1:E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8" customWidth="1"/>
    <col min="4" max="4" width="90" customWidth="1"/>
    <col min="5" max="5" width="22" customWidth="1"/>
  </cols>
  <sheetData>
    <row r="1" ht="28" customHeight="1" spans="1:5" x14ac:dyDescent="0.25">
      <c r="A1" s="4" t="s">
        <v>210</v>
      </c>
      <c r="B1" s="4"/>
      <c r="C1" s="4"/>
      <c r="D1" s="4"/>
      <c r="E1" s="4"/>
    </row>
    <row r="2" spans="1:5" x14ac:dyDescent="0.25">
      <c r="A2" s="5" t="s">
        <v>153</v>
      </c>
      <c r="B2" s="5"/>
      <c r="C2" s="5"/>
      <c r="D2" s="5"/>
      <c r="E2" s="5"/>
    </row>
    <row r="4" spans="1:5" x14ac:dyDescent="0.25">
      <c r="A4" s="14" t="s">
        <v>23</v>
      </c>
      <c r="B4" s="14" t="s">
        <v>81</v>
      </c>
      <c r="C4" s="14" t="s">
        <v>24</v>
      </c>
      <c r="D4" s="14" t="s">
        <v>82</v>
      </c>
      <c r="E4" s="15" t="s">
        <v>83</v>
      </c>
    </row>
    <row r="5" ht="20" customHeight="1" spans="1:5" x14ac:dyDescent="0.25">
      <c r="A5" s="8" t="s">
        <v>211</v>
      </c>
      <c r="B5" s="8"/>
      <c r="C5" s="8"/>
      <c r="D5" s="8"/>
      <c r="E5" s="8"/>
    </row>
    <row r="6" spans="1:5" x14ac:dyDescent="0.25">
      <c r="A6" s="9" t="s">
        <v>31</v>
      </c>
      <c r="B6" s="16">
        <v>60</v>
      </c>
      <c r="C6" s="10" t="s">
        <v>32</v>
      </c>
      <c r="D6" s="17" t="s">
        <v>155</v>
      </c>
      <c r="E6" s="18" t="s">
        <v>85</v>
      </c>
    </row>
    <row r="7" spans="1:5" x14ac:dyDescent="0.25">
      <c r="A7" s="9" t="s">
        <v>212</v>
      </c>
      <c r="B7" s="16">
        <v>100</v>
      </c>
      <c r="C7" s="10" t="s">
        <v>32</v>
      </c>
      <c r="D7" s="17" t="s">
        <v>155</v>
      </c>
      <c r="E7" s="18" t="s">
        <v>32</v>
      </c>
    </row>
    <row r="8" spans="1:5" x14ac:dyDescent="0.25">
      <c r="A8" s="9" t="s">
        <v>213</v>
      </c>
      <c r="B8" s="16">
        <v>1</v>
      </c>
      <c r="C8" s="10" t="s">
        <v>214</v>
      </c>
      <c r="D8" s="17" t="s">
        <v>215</v>
      </c>
      <c r="E8" s="18" t="s">
        <v>216</v>
      </c>
    </row>
    <row r="9" ht="20" customHeight="1" spans="1:5" x14ac:dyDescent="0.25">
      <c r="A9" s="8" t="s">
        <v>217</v>
      </c>
      <c r="B9" s="8"/>
      <c r="C9" s="8"/>
      <c r="D9" s="8"/>
      <c r="E9" s="8"/>
    </row>
    <row r="10" spans="1:5" x14ac:dyDescent="0.25">
      <c r="A10" s="9" t="s">
        <v>218</v>
      </c>
      <c r="B10" s="16">
        <v>3</v>
      </c>
      <c r="C10" s="10" t="s">
        <v>32</v>
      </c>
      <c r="D10" s="17" t="s">
        <v>155</v>
      </c>
      <c r="E10" s="18" t="s">
        <v>219</v>
      </c>
    </row>
    <row r="11" spans="1:5" x14ac:dyDescent="0.25">
      <c r="A11" s="9" t="s">
        <v>176</v>
      </c>
      <c r="B11" s="16">
        <v>1500</v>
      </c>
      <c r="C11" s="10" t="s">
        <v>54</v>
      </c>
      <c r="D11" s="17" t="s">
        <v>155</v>
      </c>
      <c r="E11" s="18" t="s">
        <v>220</v>
      </c>
    </row>
    <row r="12" spans="1:5" x14ac:dyDescent="0.25">
      <c r="A12" s="9" t="s">
        <v>221</v>
      </c>
      <c r="B12" s="16">
        <v>5</v>
      </c>
      <c r="C12" s="10" t="s">
        <v>45</v>
      </c>
      <c r="D12" s="17" t="s">
        <v>155</v>
      </c>
      <c r="E12" s="18" t="s">
        <v>222</v>
      </c>
    </row>
    <row r="13" spans="1:5" x14ac:dyDescent="0.25">
      <c r="A13" s="9" t="s">
        <v>223</v>
      </c>
      <c r="B13" s="16">
        <v>0.12</v>
      </c>
      <c r="C13" s="10" t="s">
        <v>35</v>
      </c>
      <c r="D13" s="17" t="s">
        <v>155</v>
      </c>
      <c r="E13" s="18" t="s">
        <v>224</v>
      </c>
    </row>
    <row r="14" spans="1:5" x14ac:dyDescent="0.25">
      <c r="A14" s="9" t="s">
        <v>225</v>
      </c>
      <c r="B14" s="16">
        <v>2.2</v>
      </c>
      <c r="C14" s="10" t="s">
        <v>35</v>
      </c>
      <c r="D14" s="17" t="s">
        <v>155</v>
      </c>
      <c r="E14" s="18" t="s">
        <v>226</v>
      </c>
    </row>
    <row r="15" spans="1:5" x14ac:dyDescent="0.25">
      <c r="A15" s="9" t="s">
        <v>227</v>
      </c>
      <c r="B15" s="16">
        <v>3.6</v>
      </c>
      <c r="C15" s="10" t="s">
        <v>35</v>
      </c>
      <c r="D15" s="17" t="s">
        <v>155</v>
      </c>
      <c r="E15" s="18" t="s">
        <v>228</v>
      </c>
    </row>
    <row r="16" spans="1:5" x14ac:dyDescent="0.25">
      <c r="A16" s="9" t="s">
        <v>229</v>
      </c>
      <c r="B16" s="16">
        <v>1100</v>
      </c>
      <c r="C16" s="10" t="s">
        <v>230</v>
      </c>
      <c r="D16" s="17" t="s">
        <v>155</v>
      </c>
      <c r="E16" s="18" t="s">
        <v>231</v>
      </c>
    </row>
    <row r="17" spans="1:5" x14ac:dyDescent="0.25">
      <c r="A17" s="9" t="s">
        <v>232</v>
      </c>
      <c r="B17" s="16">
        <v>2</v>
      </c>
      <c r="C17" s="10" t="s">
        <v>233</v>
      </c>
      <c r="D17" s="17" t="s">
        <v>155</v>
      </c>
      <c r="E17" s="18" t="s">
        <v>234</v>
      </c>
    </row>
  </sheetData>
  <mergeCells count="4">
    <mergeCell ref="A1:E1"/>
    <mergeCell ref="A2:E2"/>
    <mergeCell ref="A5:E5"/>
    <mergeCell ref="A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6E8A"/>
  </sheetPr>
  <dimension ref="A1:E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8" customWidth="1"/>
    <col min="4" max="4" width="90" customWidth="1"/>
    <col min="5" max="5" width="22" customWidth="1"/>
  </cols>
  <sheetData>
    <row r="1" ht="28" customHeight="1" spans="1:5" x14ac:dyDescent="0.25">
      <c r="A1" s="4" t="s">
        <v>235</v>
      </c>
      <c r="B1" s="4"/>
      <c r="C1" s="4"/>
      <c r="D1" s="4"/>
      <c r="E1" s="4"/>
    </row>
    <row r="2" spans="1:5" x14ac:dyDescent="0.25">
      <c r="A2" s="5" t="s">
        <v>153</v>
      </c>
      <c r="B2" s="5"/>
      <c r="C2" s="5"/>
      <c r="D2" s="5"/>
      <c r="E2" s="5"/>
    </row>
    <row r="4" spans="1:5" x14ac:dyDescent="0.25">
      <c r="A4" s="14" t="s">
        <v>23</v>
      </c>
      <c r="B4" s="14" t="s">
        <v>81</v>
      </c>
      <c r="C4" s="14" t="s">
        <v>24</v>
      </c>
      <c r="D4" s="14" t="s">
        <v>82</v>
      </c>
      <c r="E4" s="15" t="s">
        <v>83</v>
      </c>
    </row>
    <row r="5" ht="20" customHeight="1" spans="1:5" x14ac:dyDescent="0.25">
      <c r="A5" s="8" t="s">
        <v>211</v>
      </c>
      <c r="B5" s="8"/>
      <c r="C5" s="8"/>
      <c r="D5" s="8"/>
      <c r="E5" s="8"/>
    </row>
    <row r="6" spans="1:5" x14ac:dyDescent="0.25">
      <c r="A6" s="9" t="s">
        <v>31</v>
      </c>
      <c r="B6" s="16">
        <v>50</v>
      </c>
      <c r="C6" s="10" t="s">
        <v>32</v>
      </c>
      <c r="D6" s="17" t="s">
        <v>155</v>
      </c>
      <c r="E6" s="18" t="s">
        <v>85</v>
      </c>
    </row>
    <row r="7" spans="1:5" x14ac:dyDescent="0.25">
      <c r="A7" s="9" t="s">
        <v>236</v>
      </c>
      <c r="B7" s="16">
        <v>200</v>
      </c>
      <c r="C7" s="10" t="s">
        <v>32</v>
      </c>
      <c r="D7" s="17" t="s">
        <v>155</v>
      </c>
      <c r="E7" s="18" t="s">
        <v>32</v>
      </c>
    </row>
    <row r="8" ht="20" customHeight="1" spans="1:5" x14ac:dyDescent="0.25">
      <c r="A8" s="8" t="s">
        <v>237</v>
      </c>
      <c r="B8" s="8"/>
      <c r="C8" s="8"/>
      <c r="D8" s="8"/>
      <c r="E8" s="8"/>
    </row>
    <row r="9" spans="1:5" x14ac:dyDescent="0.25">
      <c r="A9" s="9" t="s">
        <v>218</v>
      </c>
      <c r="B9" s="16">
        <v>1</v>
      </c>
      <c r="C9" s="10" t="s">
        <v>32</v>
      </c>
      <c r="D9" s="17" t="s">
        <v>155</v>
      </c>
      <c r="E9" s="18" t="s">
        <v>238</v>
      </c>
    </row>
    <row r="10" spans="1:5" x14ac:dyDescent="0.25">
      <c r="A10" s="9" t="s">
        <v>176</v>
      </c>
      <c r="B10" s="16">
        <v>2000</v>
      </c>
      <c r="C10" s="10" t="s">
        <v>54</v>
      </c>
      <c r="D10" s="17" t="s">
        <v>155</v>
      </c>
      <c r="E10" s="18" t="s">
        <v>239</v>
      </c>
    </row>
    <row r="11" spans="1:5" x14ac:dyDescent="0.25">
      <c r="A11" s="9" t="s">
        <v>240</v>
      </c>
      <c r="B11" s="16">
        <v>0.3</v>
      </c>
      <c r="C11" s="10" t="s">
        <v>35</v>
      </c>
      <c r="D11" s="17" t="s">
        <v>241</v>
      </c>
      <c r="E11" s="18" t="s">
        <v>242</v>
      </c>
    </row>
    <row r="12" spans="1:5" x14ac:dyDescent="0.25">
      <c r="A12" s="9" t="s">
        <v>229</v>
      </c>
      <c r="B12" s="16">
        <v>800</v>
      </c>
      <c r="C12" s="10" t="s">
        <v>230</v>
      </c>
      <c r="D12" s="17" t="s">
        <v>155</v>
      </c>
      <c r="E12" s="18" t="s">
        <v>243</v>
      </c>
    </row>
    <row r="13" spans="1:5" x14ac:dyDescent="0.25">
      <c r="A13" s="9" t="s">
        <v>232</v>
      </c>
      <c r="B13" s="16">
        <v>1.72</v>
      </c>
      <c r="C13" s="10" t="s">
        <v>233</v>
      </c>
      <c r="D13" s="17" t="s">
        <v>155</v>
      </c>
      <c r="E13" s="18" t="s">
        <v>244</v>
      </c>
    </row>
    <row r="14" spans="1:5" x14ac:dyDescent="0.25">
      <c r="A14" s="9" t="s">
        <v>245</v>
      </c>
      <c r="B14" s="16">
        <v>35</v>
      </c>
      <c r="C14" s="10" t="s">
        <v>233</v>
      </c>
      <c r="D14" s="17" t="s">
        <v>246</v>
      </c>
      <c r="E14" s="18" t="s">
        <v>247</v>
      </c>
    </row>
    <row r="15" spans="1:5" x14ac:dyDescent="0.25">
      <c r="A15" s="9" t="s">
        <v>248</v>
      </c>
      <c r="B15" s="16">
        <v>50</v>
      </c>
      <c r="C15" s="10" t="s">
        <v>233</v>
      </c>
      <c r="D15" s="17" t="s">
        <v>249</v>
      </c>
      <c r="E15" s="18" t="s">
        <v>250</v>
      </c>
    </row>
  </sheetData>
  <mergeCells count="4">
    <mergeCell ref="A1:E1"/>
    <mergeCell ref="A2:E2"/>
    <mergeCell ref="A5:E5"/>
    <mergeCell ref="A8:E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6E8A"/>
  </sheetPr>
  <dimension ref="A1:E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8" customWidth="1"/>
    <col min="4" max="4" width="90" customWidth="1"/>
    <col min="5" max="5" width="22" customWidth="1"/>
  </cols>
  <sheetData>
    <row r="1" ht="28" customHeight="1" spans="1:5" x14ac:dyDescent="0.25">
      <c r="A1" s="4" t="s">
        <v>251</v>
      </c>
      <c r="B1" s="4"/>
      <c r="C1" s="4"/>
      <c r="D1" s="4"/>
      <c r="E1" s="4"/>
    </row>
    <row r="2" spans="1:5" x14ac:dyDescent="0.25">
      <c r="A2" s="5" t="s">
        <v>252</v>
      </c>
      <c r="B2" s="5"/>
      <c r="C2" s="5"/>
      <c r="D2" s="5"/>
      <c r="E2" s="5"/>
    </row>
    <row r="4" spans="1:5" x14ac:dyDescent="0.25">
      <c r="A4" s="14" t="s">
        <v>23</v>
      </c>
      <c r="B4" s="14" t="s">
        <v>81</v>
      </c>
      <c r="C4" s="14" t="s">
        <v>24</v>
      </c>
      <c r="D4" s="14" t="s">
        <v>82</v>
      </c>
      <c r="E4" s="15" t="s">
        <v>83</v>
      </c>
    </row>
    <row r="5" ht="20" customHeight="1" spans="1:5" x14ac:dyDescent="0.25">
      <c r="A5" s="8" t="s">
        <v>211</v>
      </c>
      <c r="B5" s="8"/>
      <c r="C5" s="8"/>
      <c r="D5" s="8"/>
      <c r="E5" s="8"/>
    </row>
    <row r="6" spans="1:5" x14ac:dyDescent="0.25">
      <c r="A6" s="9" t="s">
        <v>31</v>
      </c>
      <c r="B6" s="16">
        <v>40</v>
      </c>
      <c r="C6" s="10" t="s">
        <v>32</v>
      </c>
      <c r="D6" s="17" t="s">
        <v>253</v>
      </c>
      <c r="E6" s="18" t="s">
        <v>85</v>
      </c>
    </row>
    <row r="7" spans="1:5" x14ac:dyDescent="0.25">
      <c r="A7" s="9" t="s">
        <v>212</v>
      </c>
      <c r="B7" s="16">
        <v>80</v>
      </c>
      <c r="C7" s="10" t="s">
        <v>32</v>
      </c>
      <c r="D7" s="17" t="s">
        <v>155</v>
      </c>
      <c r="E7" s="18" t="s">
        <v>32</v>
      </c>
    </row>
    <row r="8" ht="20" customHeight="1" spans="1:5" x14ac:dyDescent="0.25">
      <c r="A8" s="8" t="s">
        <v>254</v>
      </c>
      <c r="B8" s="8"/>
      <c r="C8" s="8"/>
      <c r="D8" s="8"/>
      <c r="E8" s="8"/>
    </row>
    <row r="9" spans="1:5" x14ac:dyDescent="0.25">
      <c r="A9" s="9" t="s">
        <v>255</v>
      </c>
      <c r="B9" s="16">
        <v>11</v>
      </c>
      <c r="C9" s="10" t="s">
        <v>54</v>
      </c>
      <c r="D9" s="17" t="s">
        <v>256</v>
      </c>
      <c r="E9" s="18" t="s">
        <v>257</v>
      </c>
    </row>
    <row r="10" spans="1:5" x14ac:dyDescent="0.25">
      <c r="A10" s="9" t="s">
        <v>258</v>
      </c>
      <c r="B10" s="16">
        <v>20</v>
      </c>
      <c r="C10" s="10" t="s">
        <v>73</v>
      </c>
      <c r="D10" s="17" t="s">
        <v>259</v>
      </c>
      <c r="E10" s="18" t="s">
        <v>156</v>
      </c>
    </row>
    <row r="11" ht="20" customHeight="1" spans="1:5" x14ac:dyDescent="0.25">
      <c r="A11" s="8" t="s">
        <v>260</v>
      </c>
      <c r="B11" s="8"/>
      <c r="C11" s="8"/>
      <c r="D11" s="8"/>
      <c r="E11" s="8"/>
    </row>
    <row r="12" spans="1:5" x14ac:dyDescent="0.25">
      <c r="A12" s="9" t="s">
        <v>218</v>
      </c>
      <c r="B12" s="16">
        <v>3</v>
      </c>
      <c r="C12" s="10" t="s">
        <v>32</v>
      </c>
      <c r="D12" s="17" t="s">
        <v>261</v>
      </c>
      <c r="E12" s="18" t="s">
        <v>238</v>
      </c>
    </row>
    <row r="13" spans="1:5" x14ac:dyDescent="0.25">
      <c r="A13" s="9" t="s">
        <v>176</v>
      </c>
      <c r="B13" s="16">
        <v>1500</v>
      </c>
      <c r="C13" s="10" t="s">
        <v>54</v>
      </c>
      <c r="D13" s="17" t="s">
        <v>155</v>
      </c>
      <c r="E13" s="18" t="s">
        <v>239</v>
      </c>
    </row>
    <row r="14" spans="1:5" x14ac:dyDescent="0.25">
      <c r="A14" s="9" t="s">
        <v>262</v>
      </c>
      <c r="B14" s="16">
        <v>6</v>
      </c>
      <c r="C14" s="10" t="s">
        <v>35</v>
      </c>
      <c r="D14" s="17" t="s">
        <v>155</v>
      </c>
      <c r="E14" s="18" t="s">
        <v>263</v>
      </c>
    </row>
    <row r="15" spans="1:5" x14ac:dyDescent="0.25">
      <c r="A15" s="9" t="s">
        <v>264</v>
      </c>
      <c r="B15" s="16">
        <v>10</v>
      </c>
      <c r="C15" s="10" t="s">
        <v>35</v>
      </c>
      <c r="D15" s="17" t="s">
        <v>155</v>
      </c>
      <c r="E15" s="18" t="s">
        <v>265</v>
      </c>
    </row>
    <row r="16" spans="1:5" x14ac:dyDescent="0.25">
      <c r="A16" s="9" t="s">
        <v>229</v>
      </c>
      <c r="B16" s="16">
        <v>200</v>
      </c>
      <c r="C16" s="10" t="s">
        <v>230</v>
      </c>
      <c r="D16" s="17" t="s">
        <v>266</v>
      </c>
      <c r="E16" s="18" t="s">
        <v>243</v>
      </c>
    </row>
    <row r="17" spans="1:5" x14ac:dyDescent="0.25">
      <c r="A17" s="9" t="s">
        <v>232</v>
      </c>
      <c r="B17" s="16">
        <v>2.5</v>
      </c>
      <c r="C17" s="10" t="s">
        <v>233</v>
      </c>
      <c r="D17" s="17" t="s">
        <v>155</v>
      </c>
      <c r="E17" s="18" t="s">
        <v>244</v>
      </c>
    </row>
  </sheetData>
  <mergeCells count="5">
    <mergeCell ref="A1:E1"/>
    <mergeCell ref="A2:E2"/>
    <mergeCell ref="A5:E5"/>
    <mergeCell ref="A8:E8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6E8A"/>
  </sheetPr>
  <dimension ref="A1:E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8" customWidth="1"/>
    <col min="4" max="4" width="90" customWidth="1"/>
    <col min="5" max="5" width="22" customWidth="1"/>
  </cols>
  <sheetData>
    <row r="1" ht="28" customHeight="1" spans="1:5" x14ac:dyDescent="0.25">
      <c r="A1" s="4" t="s">
        <v>267</v>
      </c>
      <c r="B1" s="4"/>
      <c r="C1" s="4"/>
      <c r="D1" s="4"/>
      <c r="E1" s="4"/>
    </row>
    <row r="2" spans="1:5" x14ac:dyDescent="0.25">
      <c r="A2" s="5" t="s">
        <v>268</v>
      </c>
      <c r="B2" s="5"/>
      <c r="C2" s="5"/>
      <c r="D2" s="5"/>
      <c r="E2" s="5"/>
    </row>
    <row r="4" spans="1:5" x14ac:dyDescent="0.25">
      <c r="A4" s="14" t="s">
        <v>23</v>
      </c>
      <c r="B4" s="14" t="s">
        <v>81</v>
      </c>
      <c r="C4" s="14" t="s">
        <v>24</v>
      </c>
      <c r="D4" s="14" t="s">
        <v>82</v>
      </c>
      <c r="E4" s="15" t="s">
        <v>83</v>
      </c>
    </row>
    <row r="5" ht="20" customHeight="1" spans="1:5" x14ac:dyDescent="0.25">
      <c r="A5" s="8" t="s">
        <v>269</v>
      </c>
      <c r="B5" s="8"/>
      <c r="C5" s="8"/>
      <c r="D5" s="8"/>
      <c r="E5" s="8"/>
    </row>
    <row r="6" spans="1:5" x14ac:dyDescent="0.25">
      <c r="A6" s="9" t="s">
        <v>270</v>
      </c>
      <c r="B6" s="16">
        <v>80</v>
      </c>
      <c r="C6" s="10" t="s">
        <v>271</v>
      </c>
      <c r="D6" s="17" t="s">
        <v>272</v>
      </c>
      <c r="E6" s="18" t="s">
        <v>273</v>
      </c>
    </row>
    <row r="7" spans="1:5" x14ac:dyDescent="0.25">
      <c r="A7" s="9" t="s">
        <v>274</v>
      </c>
      <c r="B7" s="16">
        <v>300</v>
      </c>
      <c r="C7" s="10" t="s">
        <v>271</v>
      </c>
      <c r="D7" s="17" t="s">
        <v>155</v>
      </c>
      <c r="E7" s="18" t="s">
        <v>275</v>
      </c>
    </row>
    <row r="8" spans="1:5" x14ac:dyDescent="0.25">
      <c r="A8" s="9" t="s">
        <v>276</v>
      </c>
      <c r="B8" s="16">
        <v>1.6</v>
      </c>
      <c r="C8" s="10" t="s">
        <v>54</v>
      </c>
      <c r="D8" s="17" t="s">
        <v>277</v>
      </c>
      <c r="E8" s="18" t="s">
        <v>278</v>
      </c>
    </row>
    <row r="9" spans="1:5" x14ac:dyDescent="0.25">
      <c r="A9" s="9" t="s">
        <v>279</v>
      </c>
      <c r="B9" s="16">
        <v>2</v>
      </c>
      <c r="C9" s="10" t="s">
        <v>32</v>
      </c>
      <c r="D9" s="17" t="s">
        <v>280</v>
      </c>
      <c r="E9" s="18" t="s">
        <v>85</v>
      </c>
    </row>
    <row r="10" spans="1:5" x14ac:dyDescent="0.25">
      <c r="A10" s="9" t="s">
        <v>281</v>
      </c>
      <c r="B10" s="16">
        <v>2</v>
      </c>
      <c r="C10" s="10" t="s">
        <v>32</v>
      </c>
      <c r="D10" s="17" t="s">
        <v>155</v>
      </c>
      <c r="E10" s="18" t="s">
        <v>282</v>
      </c>
    </row>
    <row r="11" spans="1:5" x14ac:dyDescent="0.25">
      <c r="A11" s="9" t="s">
        <v>283</v>
      </c>
      <c r="B11" s="16">
        <v>150</v>
      </c>
      <c r="C11" s="10" t="s">
        <v>32</v>
      </c>
      <c r="D11" s="17" t="s">
        <v>284</v>
      </c>
      <c r="E11" s="18" t="s">
        <v>32</v>
      </c>
    </row>
    <row r="12" spans="1:5" x14ac:dyDescent="0.25">
      <c r="A12" s="13" t="s">
        <v>285</v>
      </c>
      <c r="B12" s="16">
        <v>5</v>
      </c>
      <c r="C12" s="10" t="s">
        <v>73</v>
      </c>
      <c r="D12" s="17" t="s">
        <v>286</v>
      </c>
      <c r="E12" s="18" t="s">
        <v>156</v>
      </c>
    </row>
    <row r="13" ht="20" customHeight="1" spans="1:5" x14ac:dyDescent="0.25">
      <c r="A13" s="8" t="s">
        <v>287</v>
      </c>
      <c r="B13" s="8"/>
      <c r="C13" s="8"/>
      <c r="D13" s="8"/>
      <c r="E13" s="8"/>
    </row>
    <row r="14" spans="1:5" x14ac:dyDescent="0.25">
      <c r="A14" s="9" t="s">
        <v>288</v>
      </c>
      <c r="B14" s="16">
        <v>3</v>
      </c>
      <c r="C14" s="10" t="s">
        <v>54</v>
      </c>
      <c r="D14" s="17" t="s">
        <v>289</v>
      </c>
      <c r="E14" s="18" t="s">
        <v>290</v>
      </c>
    </row>
    <row r="15" spans="1:5" x14ac:dyDescent="0.25">
      <c r="A15" s="9" t="s">
        <v>291</v>
      </c>
      <c r="B15" s="16">
        <v>2.5</v>
      </c>
      <c r="C15" s="10" t="s">
        <v>54</v>
      </c>
      <c r="D15" s="17" t="s">
        <v>292</v>
      </c>
      <c r="E15" s="18" t="s">
        <v>293</v>
      </c>
    </row>
    <row r="16" spans="1:5" x14ac:dyDescent="0.25">
      <c r="A16" s="9" t="s">
        <v>294</v>
      </c>
      <c r="B16" s="16">
        <v>12</v>
      </c>
      <c r="C16" s="10" t="s">
        <v>54</v>
      </c>
      <c r="D16" s="17" t="s">
        <v>155</v>
      </c>
      <c r="E16" s="18" t="s">
        <v>295</v>
      </c>
    </row>
    <row r="17" spans="1:5" x14ac:dyDescent="0.25">
      <c r="A17" s="9" t="s">
        <v>296</v>
      </c>
      <c r="B17" s="16">
        <v>5</v>
      </c>
      <c r="C17" s="10" t="s">
        <v>54</v>
      </c>
      <c r="D17" s="17" t="s">
        <v>155</v>
      </c>
      <c r="E17" s="18" t="s">
        <v>297</v>
      </c>
    </row>
    <row r="18" ht="20" customHeight="1" spans="1:5" x14ac:dyDescent="0.25">
      <c r="A18" s="8" t="s">
        <v>298</v>
      </c>
      <c r="B18" s="8"/>
      <c r="C18" s="8"/>
      <c r="D18" s="8"/>
      <c r="E18" s="8"/>
    </row>
    <row r="19" spans="1:5" x14ac:dyDescent="0.25">
      <c r="A19" s="9" t="s">
        <v>176</v>
      </c>
      <c r="B19" s="16">
        <v>400</v>
      </c>
      <c r="C19" s="10" t="s">
        <v>54</v>
      </c>
      <c r="D19" s="17" t="s">
        <v>299</v>
      </c>
      <c r="E19" s="18" t="s">
        <v>300</v>
      </c>
    </row>
    <row r="20" spans="1:5" x14ac:dyDescent="0.25">
      <c r="A20" s="9" t="s">
        <v>301</v>
      </c>
      <c r="B20" s="16">
        <v>40</v>
      </c>
      <c r="C20" s="10" t="s">
        <v>302</v>
      </c>
      <c r="D20" s="17" t="s">
        <v>303</v>
      </c>
      <c r="E20" s="18" t="s">
        <v>304</v>
      </c>
    </row>
    <row r="21" spans="1:5" x14ac:dyDescent="0.25">
      <c r="A21" s="9" t="s">
        <v>305</v>
      </c>
      <c r="B21" s="16">
        <v>2.5</v>
      </c>
      <c r="C21" s="10" t="s">
        <v>35</v>
      </c>
      <c r="D21" s="17" t="s">
        <v>155</v>
      </c>
      <c r="E21" s="18" t="s">
        <v>306</v>
      </c>
    </row>
    <row r="22" spans="1:5" x14ac:dyDescent="0.25">
      <c r="A22" s="9" t="s">
        <v>307</v>
      </c>
      <c r="B22" s="16">
        <v>75</v>
      </c>
      <c r="C22" s="10" t="s">
        <v>230</v>
      </c>
      <c r="D22" s="17" t="s">
        <v>308</v>
      </c>
      <c r="E22" s="18" t="s">
        <v>309</v>
      </c>
    </row>
    <row r="23" spans="1:5" x14ac:dyDescent="0.25">
      <c r="A23" s="9" t="s">
        <v>232</v>
      </c>
      <c r="B23" s="16">
        <v>4</v>
      </c>
      <c r="C23" s="10" t="s">
        <v>233</v>
      </c>
      <c r="D23" s="17" t="s">
        <v>155</v>
      </c>
      <c r="E23" s="18" t="s">
        <v>310</v>
      </c>
    </row>
    <row r="24" spans="1:5" x14ac:dyDescent="0.25">
      <c r="A24" s="9" t="s">
        <v>311</v>
      </c>
      <c r="B24" s="16">
        <v>0.1</v>
      </c>
      <c r="C24" s="10" t="s">
        <v>32</v>
      </c>
      <c r="D24" s="17" t="s">
        <v>312</v>
      </c>
      <c r="E24" s="18" t="s">
        <v>313</v>
      </c>
    </row>
  </sheetData>
  <mergeCells count="5">
    <mergeCell ref="A1:E1"/>
    <mergeCell ref="A2:E2"/>
    <mergeCell ref="A5:E5"/>
    <mergeCell ref="A13:E13"/>
    <mergeCell ref="A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6E8A"/>
  </sheetPr>
  <dimension ref="A1:E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8" customWidth="1"/>
    <col min="4" max="4" width="90" customWidth="1"/>
    <col min="5" max="5" width="22" customWidth="1"/>
  </cols>
  <sheetData>
    <row r="1" ht="28" customHeight="1" spans="1:5" x14ac:dyDescent="0.25">
      <c r="A1" s="4" t="s">
        <v>314</v>
      </c>
      <c r="B1" s="4"/>
      <c r="C1" s="4"/>
      <c r="D1" s="4"/>
      <c r="E1" s="4"/>
    </row>
    <row r="2" spans="1:5" x14ac:dyDescent="0.25">
      <c r="A2" s="5" t="s">
        <v>315</v>
      </c>
      <c r="B2" s="5"/>
      <c r="C2" s="5"/>
      <c r="D2" s="5"/>
      <c r="E2" s="5"/>
    </row>
    <row r="4" spans="1:5" x14ac:dyDescent="0.25">
      <c r="A4" s="14" t="s">
        <v>23</v>
      </c>
      <c r="B4" s="14" t="s">
        <v>81</v>
      </c>
      <c r="C4" s="14" t="s">
        <v>24</v>
      </c>
      <c r="D4" s="14" t="s">
        <v>82</v>
      </c>
      <c r="E4" s="15" t="s">
        <v>83</v>
      </c>
    </row>
    <row r="5" ht="20" customHeight="1" spans="1:5" x14ac:dyDescent="0.25">
      <c r="A5" s="8" t="s">
        <v>211</v>
      </c>
      <c r="B5" s="8"/>
      <c r="C5" s="8"/>
      <c r="D5" s="8"/>
      <c r="E5" s="8"/>
    </row>
    <row r="6" spans="1:5" x14ac:dyDescent="0.25">
      <c r="A6" s="9" t="s">
        <v>31</v>
      </c>
      <c r="B6" s="16">
        <v>50</v>
      </c>
      <c r="C6" s="10" t="s">
        <v>32</v>
      </c>
      <c r="D6" s="17" t="s">
        <v>316</v>
      </c>
      <c r="E6" s="18" t="s">
        <v>85</v>
      </c>
    </row>
    <row r="7" spans="1:5" x14ac:dyDescent="0.25">
      <c r="A7" s="9" t="s">
        <v>317</v>
      </c>
      <c r="B7" s="16">
        <v>200</v>
      </c>
      <c r="C7" s="10" t="s">
        <v>32</v>
      </c>
      <c r="D7" s="17" t="s">
        <v>155</v>
      </c>
      <c r="E7" s="18" t="s">
        <v>32</v>
      </c>
    </row>
    <row r="8" ht="20" customHeight="1" spans="1:5" x14ac:dyDescent="0.25">
      <c r="A8" s="8" t="s">
        <v>254</v>
      </c>
      <c r="B8" s="8"/>
      <c r="C8" s="8"/>
      <c r="D8" s="8"/>
      <c r="E8" s="8"/>
    </row>
    <row r="9" spans="1:5" x14ac:dyDescent="0.25">
      <c r="A9" s="9" t="s">
        <v>318</v>
      </c>
      <c r="B9" s="16">
        <v>110</v>
      </c>
      <c r="C9" s="10" t="s">
        <v>54</v>
      </c>
      <c r="D9" s="17" t="s">
        <v>155</v>
      </c>
      <c r="E9" s="18" t="s">
        <v>257</v>
      </c>
    </row>
    <row r="10" spans="1:5" x14ac:dyDescent="0.25">
      <c r="A10" s="9" t="s">
        <v>258</v>
      </c>
      <c r="B10" s="16">
        <v>30</v>
      </c>
      <c r="C10" s="10" t="s">
        <v>73</v>
      </c>
      <c r="D10" s="17" t="s">
        <v>286</v>
      </c>
      <c r="E10" s="18" t="s">
        <v>156</v>
      </c>
    </row>
    <row r="11" ht="20" customHeight="1" spans="1:5" x14ac:dyDescent="0.25">
      <c r="A11" s="8" t="s">
        <v>319</v>
      </c>
      <c r="B11" s="8"/>
      <c r="C11" s="8"/>
      <c r="D11" s="8"/>
      <c r="E11" s="8"/>
    </row>
    <row r="12" spans="1:5" x14ac:dyDescent="0.25">
      <c r="A12" s="9" t="s">
        <v>218</v>
      </c>
      <c r="B12" s="16">
        <v>2</v>
      </c>
      <c r="C12" s="10" t="s">
        <v>32</v>
      </c>
      <c r="D12" s="17" t="s">
        <v>155</v>
      </c>
      <c r="E12" s="18" t="s">
        <v>238</v>
      </c>
    </row>
    <row r="13" spans="1:5" x14ac:dyDescent="0.25">
      <c r="A13" s="9" t="s">
        <v>176</v>
      </c>
      <c r="B13" s="16">
        <v>2000</v>
      </c>
      <c r="C13" s="10" t="s">
        <v>54</v>
      </c>
      <c r="D13" s="17" t="s">
        <v>155</v>
      </c>
      <c r="E13" s="18" t="s">
        <v>239</v>
      </c>
    </row>
    <row r="14" spans="1:5" x14ac:dyDescent="0.25">
      <c r="A14" s="9" t="s">
        <v>240</v>
      </c>
      <c r="B14" s="16">
        <v>0.3</v>
      </c>
      <c r="C14" s="10" t="s">
        <v>35</v>
      </c>
      <c r="D14" s="17" t="s">
        <v>155</v>
      </c>
      <c r="E14" s="18" t="s">
        <v>242</v>
      </c>
    </row>
    <row r="15" spans="1:5" x14ac:dyDescent="0.25">
      <c r="A15" s="9" t="s">
        <v>229</v>
      </c>
      <c r="B15" s="16">
        <v>800</v>
      </c>
      <c r="C15" s="10" t="s">
        <v>230</v>
      </c>
      <c r="D15" s="17" t="s">
        <v>155</v>
      </c>
      <c r="E15" s="18" t="s">
        <v>243</v>
      </c>
    </row>
    <row r="16" spans="1:5" x14ac:dyDescent="0.25">
      <c r="A16" s="9" t="s">
        <v>232</v>
      </c>
      <c r="B16" s="16">
        <v>1.72</v>
      </c>
      <c r="C16" s="10" t="s">
        <v>233</v>
      </c>
      <c r="D16" s="17" t="s">
        <v>155</v>
      </c>
      <c r="E16" s="18" t="s">
        <v>244</v>
      </c>
    </row>
    <row r="17" spans="1:5" x14ac:dyDescent="0.25">
      <c r="A17" s="9" t="s">
        <v>245</v>
      </c>
      <c r="B17" s="16">
        <v>35</v>
      </c>
      <c r="C17" s="10" t="s">
        <v>233</v>
      </c>
      <c r="D17" s="17" t="s">
        <v>246</v>
      </c>
      <c r="E17" s="18" t="s">
        <v>247</v>
      </c>
    </row>
    <row r="18" spans="1:5" x14ac:dyDescent="0.25">
      <c r="A18" s="9" t="s">
        <v>248</v>
      </c>
      <c r="B18" s="16">
        <v>70</v>
      </c>
      <c r="C18" s="10" t="s">
        <v>233</v>
      </c>
      <c r="D18" s="17" t="s">
        <v>155</v>
      </c>
      <c r="E18" s="18" t="s">
        <v>250</v>
      </c>
    </row>
  </sheetData>
  <mergeCells count="5">
    <mergeCell ref="A1:E1"/>
    <mergeCell ref="A2:E2"/>
    <mergeCell ref="A5:E5"/>
    <mergeCell ref="A8:E8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6E8A"/>
  </sheetPr>
  <dimension ref="A1:E2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8" customWidth="1"/>
    <col min="4" max="4" width="90" customWidth="1"/>
    <col min="5" max="5" width="22" customWidth="1"/>
  </cols>
  <sheetData>
    <row r="1" ht="28" customHeight="1" spans="1:5" x14ac:dyDescent="0.25">
      <c r="A1" s="4" t="s">
        <v>320</v>
      </c>
      <c r="B1" s="4"/>
      <c r="C1" s="4"/>
      <c r="D1" s="4"/>
      <c r="E1" s="4"/>
    </row>
    <row r="2" spans="1:5" x14ac:dyDescent="0.25">
      <c r="A2" s="5" t="s">
        <v>321</v>
      </c>
      <c r="B2" s="5"/>
      <c r="C2" s="5"/>
      <c r="D2" s="5"/>
      <c r="E2" s="5"/>
    </row>
    <row r="4" spans="1:5" x14ac:dyDescent="0.25">
      <c r="A4" s="14" t="s">
        <v>23</v>
      </c>
      <c r="B4" s="14" t="s">
        <v>81</v>
      </c>
      <c r="C4" s="14" t="s">
        <v>24</v>
      </c>
      <c r="D4" s="14" t="s">
        <v>82</v>
      </c>
      <c r="E4" s="15" t="s">
        <v>83</v>
      </c>
    </row>
    <row r="5" ht="20" customHeight="1" spans="1:5" x14ac:dyDescent="0.25">
      <c r="A5" s="8" t="s">
        <v>322</v>
      </c>
      <c r="B5" s="8"/>
      <c r="C5" s="8"/>
      <c r="D5" s="8"/>
      <c r="E5" s="8"/>
    </row>
    <row r="6" spans="1:5" x14ac:dyDescent="0.25">
      <c r="A6" s="9" t="s">
        <v>323</v>
      </c>
      <c r="B6" s="16">
        <v>1500</v>
      </c>
      <c r="C6" s="10" t="s">
        <v>32</v>
      </c>
      <c r="D6" s="17" t="s">
        <v>324</v>
      </c>
      <c r="E6" s="18" t="s">
        <v>85</v>
      </c>
    </row>
    <row r="7" spans="1:5" x14ac:dyDescent="0.25">
      <c r="A7" s="9" t="s">
        <v>236</v>
      </c>
      <c r="B7" s="16">
        <v>2000</v>
      </c>
      <c r="C7" s="10" t="s">
        <v>32</v>
      </c>
      <c r="D7" s="17" t="s">
        <v>155</v>
      </c>
      <c r="E7" s="18" t="s">
        <v>32</v>
      </c>
    </row>
    <row r="8" spans="1:5" x14ac:dyDescent="0.25">
      <c r="A8" s="9" t="s">
        <v>318</v>
      </c>
      <c r="B8" s="16">
        <v>1000</v>
      </c>
      <c r="C8" s="10" t="s">
        <v>54</v>
      </c>
      <c r="D8" s="17" t="s">
        <v>325</v>
      </c>
      <c r="E8" s="18" t="s">
        <v>257</v>
      </c>
    </row>
    <row r="9" spans="1:5" x14ac:dyDescent="0.25">
      <c r="A9" s="9" t="s">
        <v>326</v>
      </c>
      <c r="B9" s="16">
        <v>1500</v>
      </c>
      <c r="C9" s="10" t="s">
        <v>54</v>
      </c>
      <c r="D9" s="17" t="s">
        <v>327</v>
      </c>
      <c r="E9" s="18" t="s">
        <v>328</v>
      </c>
    </row>
    <row r="10" spans="1:5" x14ac:dyDescent="0.25">
      <c r="A10" s="9" t="s">
        <v>258</v>
      </c>
      <c r="B10" s="16">
        <v>60</v>
      </c>
      <c r="C10" s="10" t="s">
        <v>73</v>
      </c>
      <c r="D10" s="17" t="s">
        <v>329</v>
      </c>
      <c r="E10" s="18" t="s">
        <v>156</v>
      </c>
    </row>
    <row r="11" ht="20" customHeight="1" spans="1:5" x14ac:dyDescent="0.25">
      <c r="A11" s="8" t="s">
        <v>330</v>
      </c>
      <c r="B11" s="8"/>
      <c r="C11" s="8"/>
      <c r="D11" s="8"/>
      <c r="E11" s="8"/>
    </row>
    <row r="12" spans="1:5" x14ac:dyDescent="0.25">
      <c r="A12" s="9" t="s">
        <v>331</v>
      </c>
      <c r="B12" s="16">
        <v>6</v>
      </c>
      <c r="C12" s="10" t="s">
        <v>332</v>
      </c>
      <c r="D12" s="17" t="s">
        <v>333</v>
      </c>
      <c r="E12" s="18" t="s">
        <v>332</v>
      </c>
    </row>
    <row r="13" spans="1:5" x14ac:dyDescent="0.25">
      <c r="A13" s="9" t="s">
        <v>334</v>
      </c>
      <c r="B13" s="16">
        <v>50</v>
      </c>
      <c r="C13" s="10" t="s">
        <v>32</v>
      </c>
      <c r="D13" s="17" t="s">
        <v>155</v>
      </c>
      <c r="E13" s="18" t="s">
        <v>335</v>
      </c>
    </row>
    <row r="14" spans="1:5" x14ac:dyDescent="0.25">
      <c r="A14" s="9" t="s">
        <v>336</v>
      </c>
      <c r="B14" s="16">
        <v>100</v>
      </c>
      <c r="C14" s="10" t="s">
        <v>32</v>
      </c>
      <c r="D14" s="17" t="s">
        <v>155</v>
      </c>
      <c r="E14" s="18" t="s">
        <v>337</v>
      </c>
    </row>
    <row r="15" spans="1:5" x14ac:dyDescent="0.25">
      <c r="A15" s="9" t="s">
        <v>338</v>
      </c>
      <c r="B15" s="16">
        <v>24</v>
      </c>
      <c r="C15" s="10" t="s">
        <v>54</v>
      </c>
      <c r="D15" s="17" t="s">
        <v>155</v>
      </c>
      <c r="E15" s="18" t="s">
        <v>339</v>
      </c>
    </row>
    <row r="16" spans="1:5" x14ac:dyDescent="0.25">
      <c r="A16" s="9" t="s">
        <v>340</v>
      </c>
      <c r="B16" s="16">
        <v>1.5</v>
      </c>
      <c r="C16" s="10" t="s">
        <v>35</v>
      </c>
      <c r="D16" s="17" t="s">
        <v>341</v>
      </c>
      <c r="E16" s="18" t="s">
        <v>342</v>
      </c>
    </row>
    <row r="17" spans="1:5" x14ac:dyDescent="0.25">
      <c r="A17" s="9" t="s">
        <v>218</v>
      </c>
      <c r="B17" s="16">
        <v>2</v>
      </c>
      <c r="C17" s="10" t="s">
        <v>32</v>
      </c>
      <c r="D17" s="17" t="s">
        <v>343</v>
      </c>
      <c r="E17" s="18" t="s">
        <v>238</v>
      </c>
    </row>
    <row r="18" spans="1:5" x14ac:dyDescent="0.25">
      <c r="A18" s="9" t="s">
        <v>176</v>
      </c>
      <c r="B18" s="16">
        <v>2000</v>
      </c>
      <c r="C18" s="10" t="s">
        <v>54</v>
      </c>
      <c r="D18" s="17" t="s">
        <v>155</v>
      </c>
      <c r="E18" s="18" t="s">
        <v>239</v>
      </c>
    </row>
    <row r="19" spans="1:5" x14ac:dyDescent="0.25">
      <c r="A19" s="9" t="s">
        <v>229</v>
      </c>
      <c r="B19" s="16">
        <v>800</v>
      </c>
      <c r="C19" s="10" t="s">
        <v>230</v>
      </c>
      <c r="D19" s="17" t="s">
        <v>155</v>
      </c>
      <c r="E19" s="18" t="s">
        <v>243</v>
      </c>
    </row>
    <row r="20" spans="1:5" x14ac:dyDescent="0.25">
      <c r="A20" s="9" t="s">
        <v>232</v>
      </c>
      <c r="B20" s="16">
        <v>1.72</v>
      </c>
      <c r="C20" s="10" t="s">
        <v>233</v>
      </c>
      <c r="D20" s="17" t="s">
        <v>155</v>
      </c>
      <c r="E20" s="18" t="s">
        <v>244</v>
      </c>
    </row>
    <row r="21" spans="1:5" x14ac:dyDescent="0.25">
      <c r="A21" s="9" t="s">
        <v>245</v>
      </c>
      <c r="B21" s="16">
        <v>35</v>
      </c>
      <c r="C21" s="10" t="s">
        <v>233</v>
      </c>
      <c r="D21" s="17" t="s">
        <v>344</v>
      </c>
      <c r="E21" s="18" t="s">
        <v>247</v>
      </c>
    </row>
    <row r="22" spans="1:5" x14ac:dyDescent="0.25">
      <c r="A22" s="9" t="s">
        <v>345</v>
      </c>
      <c r="B22" s="16">
        <v>70</v>
      </c>
      <c r="C22" s="10" t="s">
        <v>233</v>
      </c>
      <c r="D22" s="17" t="s">
        <v>155</v>
      </c>
      <c r="E22" s="18" t="s">
        <v>250</v>
      </c>
    </row>
  </sheetData>
  <mergeCells count="4">
    <mergeCell ref="A1:E1"/>
    <mergeCell ref="A2:E2"/>
    <mergeCell ref="A5:E5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6E8A"/>
  </sheetPr>
  <dimension ref="A1:E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8" customWidth="1"/>
    <col min="4" max="4" width="90" customWidth="1"/>
    <col min="5" max="5" width="22" customWidth="1"/>
  </cols>
  <sheetData>
    <row r="1" ht="28" customHeight="1" spans="1:5" x14ac:dyDescent="0.25">
      <c r="A1" s="4" t="s">
        <v>346</v>
      </c>
      <c r="B1" s="4"/>
      <c r="C1" s="4"/>
      <c r="D1" s="4"/>
      <c r="E1" s="4"/>
    </row>
    <row r="2" spans="1:5" x14ac:dyDescent="0.25">
      <c r="A2" s="5" t="s">
        <v>347</v>
      </c>
      <c r="B2" s="5"/>
      <c r="C2" s="5"/>
      <c r="D2" s="5"/>
      <c r="E2" s="5"/>
    </row>
    <row r="4" spans="1:5" x14ac:dyDescent="0.25">
      <c r="A4" s="14" t="s">
        <v>23</v>
      </c>
      <c r="B4" s="14" t="s">
        <v>81</v>
      </c>
      <c r="C4" s="14" t="s">
        <v>24</v>
      </c>
      <c r="D4" s="14" t="s">
        <v>82</v>
      </c>
      <c r="E4" s="15" t="s">
        <v>83</v>
      </c>
    </row>
    <row r="5" ht="20" customHeight="1" spans="1:5" x14ac:dyDescent="0.25">
      <c r="A5" s="8" t="s">
        <v>348</v>
      </c>
      <c r="B5" s="8"/>
      <c r="C5" s="8"/>
      <c r="D5" s="8"/>
      <c r="E5" s="8"/>
    </row>
    <row r="6" spans="1:5" x14ac:dyDescent="0.25">
      <c r="A6" s="9" t="s">
        <v>31</v>
      </c>
      <c r="B6" s="16">
        <v>3000</v>
      </c>
      <c r="C6" s="10" t="s">
        <v>32</v>
      </c>
      <c r="D6" s="17" t="s">
        <v>349</v>
      </c>
      <c r="E6" s="18" t="s">
        <v>85</v>
      </c>
    </row>
    <row r="7" spans="1:5" x14ac:dyDescent="0.25">
      <c r="A7" s="9" t="s">
        <v>350</v>
      </c>
      <c r="B7" s="16">
        <v>5000</v>
      </c>
      <c r="C7" s="10" t="s">
        <v>32</v>
      </c>
      <c r="D7" s="17" t="s">
        <v>155</v>
      </c>
      <c r="E7" s="18" t="s">
        <v>32</v>
      </c>
    </row>
    <row r="8" spans="1:5" x14ac:dyDescent="0.25">
      <c r="A8" s="9" t="s">
        <v>255</v>
      </c>
      <c r="B8" s="16">
        <v>500</v>
      </c>
      <c r="C8" s="10" t="s">
        <v>54</v>
      </c>
      <c r="D8" s="17" t="s">
        <v>155</v>
      </c>
      <c r="E8" s="18" t="s">
        <v>257</v>
      </c>
    </row>
    <row r="9" ht="20" customHeight="1" spans="1:5" x14ac:dyDescent="0.25">
      <c r="A9" s="8" t="s">
        <v>71</v>
      </c>
      <c r="B9" s="8"/>
      <c r="C9" s="8"/>
      <c r="D9" s="8"/>
      <c r="E9" s="8"/>
    </row>
    <row r="10" spans="1:5" x14ac:dyDescent="0.25">
      <c r="A10" s="9" t="s">
        <v>351</v>
      </c>
      <c r="B10" s="16">
        <v>2000</v>
      </c>
      <c r="C10" s="10" t="s">
        <v>54</v>
      </c>
      <c r="D10" s="17" t="s">
        <v>352</v>
      </c>
      <c r="E10" s="18" t="s">
        <v>353</v>
      </c>
    </row>
    <row r="11" spans="1:5" x14ac:dyDescent="0.25">
      <c r="A11" s="9" t="s">
        <v>354</v>
      </c>
      <c r="B11" s="16">
        <v>3500</v>
      </c>
      <c r="C11" s="10" t="s">
        <v>54</v>
      </c>
      <c r="D11" s="17" t="s">
        <v>355</v>
      </c>
      <c r="E11" s="18" t="s">
        <v>356</v>
      </c>
    </row>
    <row r="12" spans="1:5" x14ac:dyDescent="0.25">
      <c r="A12" s="9" t="s">
        <v>258</v>
      </c>
      <c r="B12" s="16">
        <v>150</v>
      </c>
      <c r="C12" s="10" t="s">
        <v>73</v>
      </c>
      <c r="D12" s="17" t="s">
        <v>357</v>
      </c>
      <c r="E12" s="18" t="s">
        <v>156</v>
      </c>
    </row>
    <row r="13" ht="20" customHeight="1" spans="1:5" x14ac:dyDescent="0.25">
      <c r="A13" s="8" t="s">
        <v>358</v>
      </c>
      <c r="B13" s="8"/>
      <c r="C13" s="8"/>
      <c r="D13" s="8"/>
      <c r="E13" s="8"/>
    </row>
    <row r="14" spans="1:5" x14ac:dyDescent="0.25">
      <c r="A14" s="9" t="s">
        <v>359</v>
      </c>
      <c r="B14" s="16">
        <v>40</v>
      </c>
      <c r="C14" s="10" t="s">
        <v>37</v>
      </c>
      <c r="D14" s="17" t="s">
        <v>155</v>
      </c>
      <c r="E14" s="18" t="s">
        <v>117</v>
      </c>
    </row>
    <row r="15" spans="1:5" x14ac:dyDescent="0.25">
      <c r="A15" s="9" t="s">
        <v>176</v>
      </c>
      <c r="B15" s="16">
        <v>900</v>
      </c>
      <c r="C15" s="10" t="s">
        <v>54</v>
      </c>
      <c r="D15" s="17" t="s">
        <v>155</v>
      </c>
      <c r="E15" s="18" t="s">
        <v>119</v>
      </c>
    </row>
    <row r="16" spans="1:5" x14ac:dyDescent="0.25">
      <c r="A16" s="9" t="s">
        <v>360</v>
      </c>
      <c r="B16" s="16">
        <v>25</v>
      </c>
      <c r="C16" s="10" t="s">
        <v>233</v>
      </c>
      <c r="D16" s="17" t="s">
        <v>361</v>
      </c>
      <c r="E16" s="18" t="s">
        <v>362</v>
      </c>
    </row>
    <row r="17" spans="1:5" x14ac:dyDescent="0.25">
      <c r="A17" s="9" t="s">
        <v>363</v>
      </c>
      <c r="B17" s="16">
        <v>4</v>
      </c>
      <c r="C17" s="10" t="s">
        <v>35</v>
      </c>
      <c r="D17" s="17" t="s">
        <v>155</v>
      </c>
      <c r="E17" s="18" t="s">
        <v>364</v>
      </c>
    </row>
    <row r="18" spans="1:5" x14ac:dyDescent="0.25">
      <c r="A18" s="9" t="s">
        <v>365</v>
      </c>
      <c r="B18" s="16">
        <v>6</v>
      </c>
      <c r="C18" s="10" t="s">
        <v>35</v>
      </c>
      <c r="D18" s="17" t="s">
        <v>155</v>
      </c>
      <c r="E18" s="18" t="s">
        <v>366</v>
      </c>
    </row>
    <row r="19" ht="20" customHeight="1" spans="1:5" x14ac:dyDescent="0.25">
      <c r="A19" s="8" t="s">
        <v>367</v>
      </c>
      <c r="B19" s="8"/>
      <c r="C19" s="8"/>
      <c r="D19" s="8"/>
      <c r="E19" s="8"/>
    </row>
    <row r="20" spans="1:5" x14ac:dyDescent="0.25">
      <c r="A20" s="9" t="s">
        <v>359</v>
      </c>
      <c r="B20" s="16">
        <v>15</v>
      </c>
      <c r="C20" s="10" t="s">
        <v>32</v>
      </c>
      <c r="D20" s="17" t="s">
        <v>155</v>
      </c>
      <c r="E20" s="18" t="s">
        <v>175</v>
      </c>
    </row>
    <row r="21" spans="1:5" x14ac:dyDescent="0.25">
      <c r="A21" s="9" t="s">
        <v>176</v>
      </c>
      <c r="B21" s="16">
        <v>1500</v>
      </c>
      <c r="C21" s="10" t="s">
        <v>54</v>
      </c>
      <c r="D21" s="17" t="s">
        <v>155</v>
      </c>
      <c r="E21" s="18" t="s">
        <v>177</v>
      </c>
    </row>
    <row r="22" spans="1:5" x14ac:dyDescent="0.25">
      <c r="A22" s="9" t="s">
        <v>178</v>
      </c>
      <c r="B22" s="16">
        <v>1.2</v>
      </c>
      <c r="C22" s="10" t="s">
        <v>35</v>
      </c>
      <c r="D22" s="17" t="s">
        <v>155</v>
      </c>
      <c r="E22" s="18" t="s">
        <v>179</v>
      </c>
    </row>
    <row r="23" spans="1:5" x14ac:dyDescent="0.25">
      <c r="A23" s="9" t="s">
        <v>180</v>
      </c>
      <c r="B23" s="16">
        <v>2.4</v>
      </c>
      <c r="C23" s="10" t="s">
        <v>35</v>
      </c>
      <c r="D23" s="17" t="s">
        <v>155</v>
      </c>
      <c r="E23" s="18" t="s">
        <v>181</v>
      </c>
    </row>
    <row r="24" ht="20" customHeight="1" spans="1:5" x14ac:dyDescent="0.25">
      <c r="A24" s="8" t="s">
        <v>368</v>
      </c>
      <c r="B24" s="8"/>
      <c r="C24" s="8"/>
      <c r="D24" s="8"/>
      <c r="E24" s="8"/>
    </row>
    <row r="25" spans="1:5" x14ac:dyDescent="0.25">
      <c r="A25" s="9" t="s">
        <v>369</v>
      </c>
      <c r="B25" s="16">
        <v>3</v>
      </c>
      <c r="C25" s="10" t="s">
        <v>370</v>
      </c>
      <c r="D25" s="17" t="s">
        <v>371</v>
      </c>
      <c r="E25" s="18" t="s">
        <v>370</v>
      </c>
    </row>
    <row r="26" spans="1:5" x14ac:dyDescent="0.25">
      <c r="A26" s="9" t="s">
        <v>372</v>
      </c>
      <c r="B26" s="16">
        <v>60</v>
      </c>
      <c r="C26" s="10" t="s">
        <v>32</v>
      </c>
      <c r="D26" s="17" t="s">
        <v>155</v>
      </c>
      <c r="E26" s="18" t="s">
        <v>373</v>
      </c>
    </row>
    <row r="27" spans="1:5" x14ac:dyDescent="0.25">
      <c r="A27" s="9" t="s">
        <v>374</v>
      </c>
      <c r="B27" s="16">
        <v>300</v>
      </c>
      <c r="C27" s="10" t="s">
        <v>32</v>
      </c>
      <c r="D27" s="17" t="s">
        <v>155</v>
      </c>
      <c r="E27" s="18" t="s">
        <v>375</v>
      </c>
    </row>
  </sheetData>
  <mergeCells count="7">
    <mergeCell ref="A1:E1"/>
    <mergeCell ref="A2:E2"/>
    <mergeCell ref="A5:E5"/>
    <mergeCell ref="A9:E9"/>
    <mergeCell ref="A13:E13"/>
    <mergeCell ref="A19:E19"/>
    <mergeCell ref="A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6E8A"/>
  </sheetPr>
  <dimension ref="A1:E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18" customWidth="1"/>
    <col min="4" max="4" width="90" customWidth="1"/>
    <col min="5" max="5" width="22" customWidth="1"/>
  </cols>
  <sheetData>
    <row r="1" ht="28" customHeight="1" spans="1:5" x14ac:dyDescent="0.25">
      <c r="A1" s="4" t="s">
        <v>376</v>
      </c>
      <c r="B1" s="4"/>
      <c r="C1" s="4"/>
      <c r="D1" s="4"/>
      <c r="E1" s="4"/>
    </row>
    <row r="2" spans="1:5" x14ac:dyDescent="0.25">
      <c r="A2" s="5" t="s">
        <v>377</v>
      </c>
      <c r="B2" s="5"/>
      <c r="C2" s="5"/>
      <c r="D2" s="5"/>
      <c r="E2" s="5"/>
    </row>
    <row r="4" spans="1:5" x14ac:dyDescent="0.25">
      <c r="A4" s="14" t="s">
        <v>23</v>
      </c>
      <c r="B4" s="14" t="s">
        <v>81</v>
      </c>
      <c r="C4" s="14" t="s">
        <v>24</v>
      </c>
      <c r="D4" s="14" t="s">
        <v>82</v>
      </c>
      <c r="E4" s="15" t="s">
        <v>83</v>
      </c>
    </row>
    <row r="5" ht="20" customHeight="1" spans="1:5" x14ac:dyDescent="0.25">
      <c r="A5" s="8" t="s">
        <v>378</v>
      </c>
      <c r="B5" s="8"/>
      <c r="C5" s="8"/>
      <c r="D5" s="8"/>
      <c r="E5" s="8"/>
    </row>
    <row r="6" spans="1:5" x14ac:dyDescent="0.25">
      <c r="A6" s="9" t="s">
        <v>43</v>
      </c>
      <c r="B6" s="16">
        <v>5</v>
      </c>
      <c r="C6" s="10" t="s">
        <v>32</v>
      </c>
      <c r="D6" s="17" t="s">
        <v>155</v>
      </c>
      <c r="E6" s="18" t="s">
        <v>99</v>
      </c>
    </row>
    <row r="7" spans="1:5" x14ac:dyDescent="0.25">
      <c r="A7" s="9" t="s">
        <v>262</v>
      </c>
      <c r="B7" s="16">
        <v>0.14</v>
      </c>
      <c r="C7" s="10" t="s">
        <v>35</v>
      </c>
      <c r="D7" s="17" t="s">
        <v>155</v>
      </c>
      <c r="E7" s="18" t="s">
        <v>379</v>
      </c>
    </row>
    <row r="8" spans="1:5" x14ac:dyDescent="0.25">
      <c r="A8" s="9" t="s">
        <v>264</v>
      </c>
      <c r="B8" s="16">
        <v>0.26</v>
      </c>
      <c r="C8" s="10" t="s">
        <v>35</v>
      </c>
      <c r="D8" s="17" t="s">
        <v>155</v>
      </c>
      <c r="E8" s="18" t="s">
        <v>380</v>
      </c>
    </row>
    <row r="9" spans="1:5" x14ac:dyDescent="0.25">
      <c r="A9" s="9" t="s">
        <v>381</v>
      </c>
      <c r="B9" s="16">
        <v>1000</v>
      </c>
      <c r="C9" s="10" t="s">
        <v>54</v>
      </c>
      <c r="D9" s="17" t="s">
        <v>155</v>
      </c>
      <c r="E9" s="18" t="s">
        <v>382</v>
      </c>
    </row>
    <row r="10" spans="1:5" x14ac:dyDescent="0.25">
      <c r="A10" s="9" t="s">
        <v>182</v>
      </c>
      <c r="B10" s="16">
        <v>1</v>
      </c>
      <c r="C10" s="10" t="s">
        <v>183</v>
      </c>
      <c r="D10" s="17" t="s">
        <v>155</v>
      </c>
      <c r="E10" s="18" t="s">
        <v>383</v>
      </c>
    </row>
    <row r="11" spans="1:5" x14ac:dyDescent="0.25">
      <c r="A11" s="9" t="s">
        <v>57</v>
      </c>
      <c r="B11" s="16">
        <v>70</v>
      </c>
      <c r="C11" s="10" t="s">
        <v>37</v>
      </c>
      <c r="D11" s="17" t="s">
        <v>384</v>
      </c>
      <c r="E11" s="18" t="s">
        <v>117</v>
      </c>
    </row>
    <row r="12" spans="1:5" x14ac:dyDescent="0.25">
      <c r="A12" s="9" t="s">
        <v>58</v>
      </c>
      <c r="B12" s="16">
        <v>200</v>
      </c>
      <c r="C12" s="10" t="s">
        <v>54</v>
      </c>
      <c r="D12" s="17" t="s">
        <v>155</v>
      </c>
      <c r="E12" s="18" t="s">
        <v>119</v>
      </c>
    </row>
    <row r="13" ht="20" customHeight="1" spans="1:5" x14ac:dyDescent="0.25">
      <c r="A13" s="8" t="s">
        <v>385</v>
      </c>
      <c r="B13" s="8"/>
      <c r="C13" s="8"/>
      <c r="D13" s="8"/>
      <c r="E13" s="8"/>
    </row>
    <row r="14" spans="1:5" x14ac:dyDescent="0.25">
      <c r="A14" s="9" t="s">
        <v>72</v>
      </c>
      <c r="B14" s="16">
        <v>1100</v>
      </c>
      <c r="C14" s="10" t="s">
        <v>73</v>
      </c>
      <c r="D14" s="17" t="s">
        <v>386</v>
      </c>
      <c r="E14" s="18" t="s">
        <v>137</v>
      </c>
    </row>
    <row r="15" spans="1:5" x14ac:dyDescent="0.25">
      <c r="A15" s="9" t="s">
        <v>387</v>
      </c>
      <c r="B15" s="16">
        <v>2000</v>
      </c>
      <c r="C15" s="10" t="s">
        <v>54</v>
      </c>
      <c r="D15" s="17" t="s">
        <v>388</v>
      </c>
      <c r="E15" s="18" t="s">
        <v>389</v>
      </c>
    </row>
    <row r="16" spans="1:5" x14ac:dyDescent="0.25">
      <c r="A16" s="9" t="s">
        <v>390</v>
      </c>
      <c r="B16" s="16">
        <v>1000</v>
      </c>
      <c r="C16" s="10" t="s">
        <v>54</v>
      </c>
      <c r="D16" s="17" t="s">
        <v>391</v>
      </c>
      <c r="E16" s="18" t="s">
        <v>392</v>
      </c>
    </row>
    <row r="17" spans="1:5" x14ac:dyDescent="0.25">
      <c r="A17" s="9" t="s">
        <v>393</v>
      </c>
      <c r="B17" s="16">
        <v>60</v>
      </c>
      <c r="C17" s="10" t="s">
        <v>70</v>
      </c>
      <c r="D17" s="17" t="s">
        <v>394</v>
      </c>
      <c r="E17" s="18" t="s">
        <v>395</v>
      </c>
    </row>
    <row r="18" spans="1:5" x14ac:dyDescent="0.25">
      <c r="A18" s="9" t="s">
        <v>396</v>
      </c>
      <c r="B18" s="16">
        <v>600</v>
      </c>
      <c r="C18" s="10" t="s">
        <v>54</v>
      </c>
      <c r="D18" s="17" t="s">
        <v>397</v>
      </c>
      <c r="E18" s="18" t="s">
        <v>398</v>
      </c>
    </row>
    <row r="19" spans="1:5" x14ac:dyDescent="0.25">
      <c r="A19" s="9" t="s">
        <v>399</v>
      </c>
      <c r="B19" s="16">
        <v>5</v>
      </c>
      <c r="C19" s="10" t="s">
        <v>35</v>
      </c>
      <c r="D19" s="17" t="s">
        <v>155</v>
      </c>
      <c r="E19" s="18" t="s">
        <v>400</v>
      </c>
    </row>
    <row r="20" spans="1:5" x14ac:dyDescent="0.25">
      <c r="A20" s="9" t="s">
        <v>401</v>
      </c>
      <c r="B20" s="16">
        <v>10</v>
      </c>
      <c r="C20" s="10" t="s">
        <v>35</v>
      </c>
      <c r="D20" s="17" t="s">
        <v>155</v>
      </c>
      <c r="E20" s="18" t="s">
        <v>402</v>
      </c>
    </row>
  </sheetData>
  <mergeCells count="4">
    <mergeCell ref="A1:E1"/>
    <mergeCell ref="A2:E2"/>
    <mergeCell ref="A5:E5"/>
    <mergeCell ref="A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Léeme</vt:lpstr>
      <vt:lpstr>Comparativa</vt:lpstr>
      <vt:lpstr>Base</vt:lpstr>
      <vt:lpstr>Alientormenta</vt:lpstr>
      <vt:lpstr>Abrasanubes</vt:lpstr>
      <vt:lpstr>Ventoscuro</vt:lpstr>
      <vt:lpstr>Fulgor</vt:lpstr>
      <vt:lpstr>Dragón enemigo</vt:lpstr>
      <vt:lpstr>Torre</vt:lpstr>
      <vt:lpstr>Dirigible</vt:lpstr>
      <vt:lpstr>Artillería</vt:lpstr>
      <vt:lpstr>Batallón</vt:lpstr>
      <vt:lpstr>Barco naval</vt:lpstr>
      <vt:lpstr>Superdirigible</vt:lpstr>
      <vt:lpstr>Sierpe</vt:lpstr>
      <vt:lpstr>Lance (aliado)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Apex</dc:creator>
  <dc:title/>
  <dc:subject/>
  <dc:description/>
  <cp:keywords/>
  <cp:category/>
  <cp:lastModifiedBy>Unknown</cp:lastModifiedBy>
  <dcterms:created xsi:type="dcterms:W3CDTF">2026-10-30T12:59:19Z</dcterms:created>
  <dcterms:modified xsi:type="dcterms:W3CDTF">2026-10-30T12:59:19Z</dcterms:modified>
</cp:coreProperties>
</file>