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Artillería" state="visible" r:id="rId14"/>
    <sheet sheetId="12" name="Batallón" state="visible" r:id="rId15"/>
    <sheet sheetId="13" name="Barco naval" state="visible" r:id="rId16"/>
    <sheet sheetId="14" name="Superdirigible" state="visible" r:id="rId17"/>
    <sheet sheetId="15" name="Sierpe" state="visible" r:id="rId18"/>
    <sheet sheetId="16" name="Lance (aliado)" state="visible" r:id="rId19"/>
  </sheets>
  <calcPr calcId="171027" fullCalcOnLoad="1"/>
</workbook>
</file>

<file path=xl/sharedStrings.xml><?xml version="1.0" encoding="utf-8"?>
<sst xmlns="http://schemas.openxmlformats.org/spreadsheetml/2006/main" count="1539" uniqueCount="416">
  <si>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</si>
  <si>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</si>
  <si>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</si>
  <si>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</si>
  <si>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</si>
  <si>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</si>
  <si>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</si>
  <si>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</si>
  <si>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</si>
  <si>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Artillería, Batallón, Barco naval, Superdirigible y Sierpe (v29): los enemigos nuevos, con valores provisionales para ajustarlos en la galería de enemigos.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</si>
  <si>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</si>
  <si>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</si>
  <si>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</si>
  <si>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</si>
  <si>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</si>
  <si>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</si>
  <si>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</si>
  <si>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</si>
  <si>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</si>
  <si>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</si>
  <si>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</si>
  <si>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</si>
  <si>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</si>
  <si>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</si>
  <si>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</si>
  <si>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</si>
  <si>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</si>
  <si>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</si>
  <si>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</si>
  <si>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</si>
  <si>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</si>
  <si>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</si>
  <si>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</si>
  <si>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</si>
  <si>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</si>
  <si>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</si>
  <si>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</si>
  <si>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</si>
  <si>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</si>
  <si>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</si>
  <si>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</si>
  <si>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</si>
  <si>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</si>
  <si>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</si>
  <si>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</si>
  <si>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</si>
  <si>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</si>
  <si>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</si>
  <si>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</si>
  <si>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</si>
  <si>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</si>
  <si>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</si>
  <si>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</si>
  <si>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</si>
  <si>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</si>
  <si>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</si>
  <si>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</si>
  <si>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</si>
  <si>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</si>
  <si>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</si>
  <si>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</si>
  <si>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</si>
  <si>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</si>
  <si>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</si>
  <si>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</si>
  <si>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</si>
  <si>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</si>
  <si>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</si>
  <si>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</si>
  <si>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</si>
  <si>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</si>
  <si>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</si>
  <si>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</si>
  <si>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</si>
  <si>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</si>
  <si>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</si>
  <si>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</si>
  <si>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</si>
  <si>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</si>
  <si>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</si>
  <si>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Esquiva (A / D)</t>
  </si>
  <si>
    <t>Distancia de la esquiva</t>
  </si>
  <si>
    <t>Duración de la esquiva</t>
  </si>
  <si>
    <t>Espera entre esquivas</t>
  </si>
  <si>
    <t>Despiste de guiadas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</si>
  <si>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</si>
  <si>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</si>
  <si>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</si>
  <si>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</si>
  <si>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</si>
  <si>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</si>
  <si>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</si>
  <si>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</si>
  <si>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</si>
  <si>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</si>
  <si>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</si>
  <si>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</si>
  <si>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</si>
  <si>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</si>
  <si>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</si>
  <si>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</si>
  <si>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</si>
  <si>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</si>
  <si>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</si>
  <si>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</si>
  <si>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</si>
  <si>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</si>
  <si>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</si>
  <si>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</si>
  <si>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</si>
  <si>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</si>
  <si>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</si>
  <si>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</si>
  <si>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</si>
  <si>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</si>
  <si>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</si>
  <si>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</si>
  <si>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</si>
  <si>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</si>
  <si>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 (v31: 2, antes 3).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</si>
  <si>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</si>
  <si>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</si>
  <si>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</si>
  <si>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</si>
  <si>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</si>
  <si>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</si>
  <si>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</si>
  <si>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</si>
  <si>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</si>
  <si>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</si>
  <si>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</si>
  <si>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</si>
  <si>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</si>
  <si>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</si>
  <si>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</si>
  <si>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</si>
  <si>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</si>
  <si>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</si>
  <si>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</si>
  <si>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torre, dirigible u otra unidad enemiga que destruyes tú (no Lance; los soldados sueltos no cuentan, el batallón entero sí).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</si>
  <si>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</si>
  <si>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</si>
  <si>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</si>
  <si>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</si>
  <si>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</si>
  <si>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</si>
  <si>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</si>
  <si>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</si>
  <si>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</si>
  <si>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</si>
  <si>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</si>
  <si>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</si>
  <si>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</si>
  <si>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</si>
  <si>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</si>
  <si>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Lo que se desplaza de lado, sin cambiar el rumbo (v32). Con mucho más, en 3ª persona el dragón se sale de la pantalla mientras la cámara se queda atrás.</t>
  </si>
  <si>
    <t>esquiva_distancia</t>
  </si>
  <si>
    <t>Segundos que dura el desplazamiento y el tonel de 360°.</t>
  </si>
  <si>
    <t>esquiva_duracion</t>
  </si>
  <si>
    <t>Segundos desde que acaba una hasta que se puede hacer la siguiente.</t>
  </si>
  <si>
    <t>esquiva_recarga</t>
  </si>
  <si>
    <t>Al esquivar, las bolas guiadas enemigas a menos de esto pierden el blanco y siguen rectas (0 = ninguna).</t>
  </si>
  <si>
    <t>esquiva_guiadas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</si>
  <si>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</si>
  <si>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</si>
  <si>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</si>
  <si>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</si>
  <si>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</si>
  <si>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</si>
  <si>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</si>
  <si>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</si>
  <si>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</si>
  <si>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</si>
  <si>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</si>
  <si>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</si>
  <si>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</si>
  <si>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</si>
  <si>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</si>
  <si>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</si>
  <si>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</si>
  <si>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</si>
  <si>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</si>
  <si>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</si>
  <si>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</si>
  <si>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</si>
  <si>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</si>
  <si>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</si>
  <si>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</si>
  <si>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</si>
  <si>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</si>
  <si>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</si>
  <si>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</si>
  <si>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</si>
  <si>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</si>
  <si>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</si>
  <si>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</si>
  <si>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</si>
  <si>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</si>
  <si>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</si>
  <si>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</si>
  <si>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</si>
  <si>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</si>
  <si>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</si>
  <si>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</si>
  <si>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</si>
  <si>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</si>
  <si>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</si>
  <si>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</si>
  <si>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</si>
  <si>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</si>
  <si>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</si>
  <si>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</si>
  <si>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</si>
  <si>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</si>
  <si>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</si>
  <si>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</si>
  <si>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</si>
  <si>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</si>
  <si>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</si>
  <si>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</si>
  <si>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</si>
  <si>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</si>
  <si>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</si>
  <si>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</si>
  <si>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</si>
  <si>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</si>
  <si>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</si>
  <si>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</si>
  <si>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</si>
  <si>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</si>
  <si>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</si>
  <si>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</si>
  <si>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</si>
  <si>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</si>
  <si>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</si>
  <si>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</si>
  <si>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</si>
  <si>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</si>
  <si>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</si>
  <si>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</si>
  <si>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</si>
  <si>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</si>
  <si>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</si>
  <si>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</si>
  <si>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</si>
  <si>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</si>
  <si>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</si>
  <si>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</si>
  <si>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</si>
  <si>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</si>
  <si>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</si>
  <si>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</si>
  <si>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</si>
  <si>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</si>
  <si>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</si>
  <si>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</si>
  <si>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</si>
  <si>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</si>
  <si>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</si>
  <si>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</si>
  <si>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</si>
  <si>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</si>
  <si>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</si>
  <si>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</si>
  <si>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Artillería</t>
  </si>
  <si>
    <t>Nueva (v29): balistas, catapultas y cañones, la defensa terrestre móvil. Valores provisionales.</t>
  </si>
  <si>
    <t>Balista, catapulta y cañón son iguales: solo cambia el aspecto (y el aspecto del proyectil).</t>
  </si>
  <si>
    <t>Tamaño y movimiento</t>
  </si>
  <si>
    <t>Largo</t>
  </si>
  <si>
    <t>Tamaño en el juego: los tres modelos se escalan a este largo.</t>
  </si>
  <si>
    <t>largo</t>
  </si>
  <si>
    <t>Velocidad</t>
  </si>
  <si>
    <t>Unidad de tierra lenta. Aún sin uso: en la galería están quietas (llegará con las misiones).</t>
  </si>
  <si>
    <t>Disparo (muy de vez en cuando)</t>
  </si>
  <si>
    <t>Anecdótico: en las misiones su papel será atacar a las unidades de tierra aliadas.</t>
  </si>
  <si>
    <t>Pausa entre disparos (mínima)</t>
  </si>
  <si>
    <t>pausa_min</t>
  </si>
  <si>
    <t>Pausa entre disparos (máxima)</t>
  </si>
  <si>
    <t>pausa_max</t>
  </si>
  <si>
    <t>Con parábola: la gravedad lo hace caer (apuntan con adelanto).</t>
  </si>
  <si>
    <t>Batallón</t>
  </si>
  <si>
    <t>Nueva (v29): bloques de soldados, el objetivo de la llamarada a ras de tierra. Valores provisionales.</t>
  </si>
  <si>
    <t>Soldados</t>
  </si>
  <si>
    <t>Soldados por batallón (mínimo)</t>
  </si>
  <si>
    <t>soldados</t>
  </si>
  <si>
    <t>Cada bloque sale con un número al azar entre el mínimo y el máximo (la receta puede fijarlo).</t>
  </si>
  <si>
    <t>soldados_min</t>
  </si>
  <si>
    <t>Soldados por batallón (máximo)</t>
  </si>
  <si>
    <t>soldados_max</t>
  </si>
  <si>
    <t>Separación entre soldados</t>
  </si>
  <si>
    <t>En la formación rectangular. Se nota al empezar otra partida o al restaurar la galería.</t>
  </si>
  <si>
    <t>separacion</t>
  </si>
  <si>
    <t>Vida de cada soldado</t>
  </si>
  <si>
    <t>Con la llamarada (15/s) arden casi al instante.</t>
  </si>
  <si>
    <t>Puntos por soldado</t>
  </si>
  <si>
    <t>puntos_soldado</t>
  </si>
  <si>
    <t>Puntos al aniquilar el batallón</t>
  </si>
  <si>
    <t>Además de los de cada soldado.</t>
  </si>
  <si>
    <t>Velocidad de marcha</t>
  </si>
  <si>
    <t>Aún sin uso: en la galería están quietos.</t>
  </si>
  <si>
    <t>Daño que reciben</t>
  </si>
  <si>
    <t>Radio extra de la llamarada</t>
  </si>
  <si>
    <t>Se suma al cono de la llamarada (2 m + un 11 % de la distancia).</t>
  </si>
  <si>
    <t>radio_llamas</t>
  </si>
  <si>
    <t>Radio del disparo básico</t>
  </si>
  <si>
    <t>Mueren los soldados a menos de esto del impacto.</t>
  </si>
  <si>
    <t>radio_basico</t>
  </si>
  <si>
    <t>Radio del disparo guiado</t>
  </si>
  <si>
    <t>radio_guiado</t>
  </si>
  <si>
    <t>Radio del rayo láser</t>
  </si>
  <si>
    <t>radio_rayo</t>
  </si>
  <si>
    <t>Flechas (sobre todo un efecto)</t>
  </si>
  <si>
    <t>Disparan cuando pasas a menos de esto.</t>
  </si>
  <si>
    <t>flechas_alcance</t>
  </si>
  <si>
    <t>Flechas por andanada</t>
  </si>
  <si>
    <t>flechas</t>
  </si>
  <si>
    <t>Con el batallón entero (con menos soldados, menos flechas).</t>
  </si>
  <si>
    <t>flechas_andanada</t>
  </si>
  <si>
    <t>Pausa entre andanadas</t>
  </si>
  <si>
    <t>flechas_pausa</t>
  </si>
  <si>
    <t>Velocidad de las flechas</t>
  </si>
  <si>
    <t>Con parábola.</t>
  </si>
  <si>
    <t>flechas_vel</t>
  </si>
  <si>
    <t>flechas_dispersion</t>
  </si>
  <si>
    <t>Daño por flecha</t>
  </si>
  <si>
    <t>Despreciable, a propósito (en hover justo encima, ~1 punto por segundo).</t>
  </si>
  <si>
    <t>flechas_dano</t>
  </si>
  <si>
    <t>Barco naval</t>
  </si>
  <si>
    <t>Nueva (v29): barcos en el mar, como los dirigibles. Valores provisionales.</t>
  </si>
  <si>
    <t>Como los dirigibles: un disparo guiado (60) lo hunde.</t>
  </si>
  <si>
    <t>Puntos al hundirlo</t>
  </si>
  <si>
    <t>Eslora</t>
  </si>
  <si>
    <t>Cañones (solo por los costados, como los dirigibles)</t>
  </si>
  <si>
    <t>Superdirigible</t>
  </si>
  <si>
    <t>Nueva (v29): megaestructura del cielo con torretas que se destruyen aparte. Valores provisionales.</t>
  </si>
  <si>
    <t>Núcleo (el casco)</t>
  </si>
  <si>
    <t>Puntos de vida del núcleo</t>
  </si>
  <si>
    <t>Se puede dañar aunque queden torretas; al caer, caen todas.</t>
  </si>
  <si>
    <t>Jorge: 500 m como mínimo (v29) y luego el doble (v30). Las torretas no cambian de tamaño: quedan más separadas.</t>
  </si>
  <si>
    <t>Altura mínima de vuelo</t>
  </si>
  <si>
    <t>Sobre el suelo. La receta puede ponerlo más alto, nunca más bajo.</t>
  </si>
  <si>
    <t>altura_min</t>
  </si>
  <si>
    <t>Aún sin uso: en la galería está quieto.</t>
  </si>
  <si>
    <t>Torretas (cañones y balistas sobre la cubierta)</t>
  </si>
  <si>
    <t>Torretas por costado</t>
  </si>
  <si>
    <t>torretas</t>
  </si>
  <si>
    <t>Alternan cañón y balista; se fijan y se destruyen una a una (como mucho 6).</t>
  </si>
  <si>
    <t>Vida de cada torreta</t>
  </si>
  <si>
    <t>torreta_vida</t>
  </si>
  <si>
    <t>Puntos por torreta</t>
  </si>
  <si>
    <t>torreta_puntos</t>
  </si>
  <si>
    <t>Tamaño de cada torreta</t>
  </si>
  <si>
    <t>torreta_largo</t>
  </si>
  <si>
    <t>Pausa entre disparos de cada torreta</t>
  </si>
  <si>
    <t>Cada torreta dispara por su cuenta, solo hacia su costado.</t>
  </si>
  <si>
    <t>torreta_cadencia</t>
  </si>
  <si>
    <t>Como los cañones de los dirigibles.</t>
  </si>
  <si>
    <t>Como los dirigibles: medido desde el eje del casco.</t>
  </si>
  <si>
    <t>Elevación máxima</t>
  </si>
  <si>
    <t>Sierpe</t>
  </si>
  <si>
    <t>Nueva (v29): dragón serpiente gigante (minijefe) con hechiceros que la escudan. Valores provisionales.</t>
  </si>
  <si>
    <t>Vida y tamaño</t>
  </si>
  <si>
    <t>Solo recibe daño cuando cae su escudo.</t>
  </si>
  <si>
    <t>Puntos al abatirla</t>
  </si>
  <si>
    <t>Altura de vuelo</t>
  </si>
  <si>
    <t>Sobre el suelo, si la receta no dice otra.</t>
  </si>
  <si>
    <t>altura</t>
  </si>
  <si>
    <t>Radio del círculo</t>
  </si>
  <si>
    <t>En vuelo circular: su patrulla (en la galería, sobre todo el campo).</t>
  </si>
  <si>
    <t>radio_circulo</t>
  </si>
  <si>
    <t>En vuelo circular.</t>
  </si>
  <si>
    <t>Llamarada (si te pones delante de la cabeza)</t>
  </si>
  <si>
    <t>Daño</t>
  </si>
  <si>
    <t>Ángulo para empezarla</t>
  </si>
  <si>
    <t>Te tiene que tener delante de la cabeza, a menos de este ángulo.</t>
  </si>
  <si>
    <t>llamas_angulo</t>
  </si>
  <si>
    <t>Duración</t>
  </si>
  <si>
    <t>llamas_duracion</t>
  </si>
  <si>
    <t>Pausa entre llamaradas</t>
  </si>
  <si>
    <t>llamas_pausa</t>
  </si>
  <si>
    <t>Bolas de fuego (como los dragones enemigos)</t>
  </si>
  <si>
    <t>Hechiceros y escudo</t>
  </si>
  <si>
    <t>Hechiceros en el lomo</t>
  </si>
  <si>
    <t>hechiceros</t>
  </si>
  <si>
    <t>Mientras quede alguno, el escudo la protege de todo daño (como mucho 3).</t>
  </si>
  <si>
    <t>Vida de cada hechicero</t>
  </si>
  <si>
    <t>hechicero_vida</t>
  </si>
  <si>
    <t>Puntos por hechicero</t>
  </si>
  <si>
    <t>hechicero_puntos</t>
  </si>
  <si>
    <t>Lance (aliado)</t>
  </si>
  <si>
    <t>Compañero de escuadrón con IA (Misión 1). Valores de ahora, pendientes de rediseñar.</t>
  </si>
  <si>
    <t>Armas (solo disparo básico y lanzallamas)</t>
  </si>
  <si>
    <t>basico_pausa_min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</si>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</sst>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ht="24" customHeight="1" spans="2:2" x14ac:dyDescent="0.25">
      <c r="B13" s="3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ht="24" customHeight="1" spans="2:2" x14ac:dyDescent="0.25">
      <c r="B16" s="3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spans="2:2" x14ac:dyDescent="0.25">
      <c r="B20" s="2" t="s">
        <v>18</v>
      </c>
    </row>
    <row r="21" ht="24" customHeight="1" spans="2:2" x14ac:dyDescent="0.25">
      <c r="B21" s="3" t="s">
        <v>19</v>
      </c>
    </row>
    <row r="22" spans="2:2" x14ac:dyDescent="0.25">
      <c r="B22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8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21</v>
      </c>
      <c r="B1" s="4"/>
      <c r="C1" s="4"/>
      <c r="D1" s="4"/>
      <c r="E1" s="4"/>
      <c r="F1" s="4"/>
      <c r="G1" s="4"/>
    </row>
    <row r="2" spans="1:7" x14ac:dyDescent="0.25">
      <c r="A2" s="5" t="s">
        <v>22</v>
      </c>
      <c r="B2" s="5"/>
      <c r="C2" s="5"/>
      <c r="D2" s="5"/>
      <c r="E2" s="5"/>
      <c r="F2" s="5"/>
      <c r="G2" s="5"/>
    </row>
    <row r="4" spans="1:7" x14ac:dyDescent="0.25">
      <c r="A4" s="6" t="s">
        <v>23</v>
      </c>
      <c r="B4" s="6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0" t="s">
        <v>32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33</v>
      </c>
      <c r="B7" s="10" t="s">
        <v>32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34</v>
      </c>
      <c r="B8" s="10" t="s">
        <v>35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36</v>
      </c>
      <c r="B9" s="10" t="s">
        <v>37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38</v>
      </c>
      <c r="B10" s="10" t="s">
        <v>39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40</v>
      </c>
      <c r="B11" s="10" t="s">
        <v>35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41</v>
      </c>
      <c r="B12" s="10" t="s">
        <v>39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0" t="s">
        <v>32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44</v>
      </c>
      <c r="B15" s="10" t="s">
        <v>45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46</v>
      </c>
      <c r="B16" s="10" t="s">
        <v>35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47</v>
      </c>
      <c r="B17" s="10" t="s">
        <v>35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48</v>
      </c>
      <c r="B18" s="10" t="s">
        <v>49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0" t="s">
        <v>32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52</v>
      </c>
      <c r="B21" s="10" t="s">
        <v>45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53</v>
      </c>
      <c r="B22" s="10" t="s">
        <v>54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55</v>
      </c>
      <c r="B23" s="10" t="s">
        <v>35</v>
      </c>
      <c r="C23" s="11">
        <f>Base!B23</f>
        <v>2</v>
      </c>
      <c r="D23" s="12">
        <f>'Alientormenta'!B23</f>
        <v>2</v>
      </c>
      <c r="E23" s="12">
        <f>'Abrasanubes'!B23</f>
        <v>2</v>
      </c>
      <c r="F23" s="12">
        <f>'Ventoscuro'!B23</f>
        <v>2</v>
      </c>
      <c r="G23" s="12">
        <f>'Fulgor'!B23</f>
        <v>2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0" t="s">
        <v>37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58</v>
      </c>
      <c r="B26" s="10" t="s">
        <v>54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59</v>
      </c>
      <c r="B27" s="10" t="s">
        <v>35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60</v>
      </c>
      <c r="B28" s="10" t="s">
        <v>35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61</v>
      </c>
      <c r="B29" s="10" t="s">
        <v>35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0" t="s">
        <v>37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64</v>
      </c>
      <c r="B32" s="10" t="s">
        <v>35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65</v>
      </c>
      <c r="B33" s="10" t="s">
        <v>66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67</v>
      </c>
      <c r="B34" s="10" t="s">
        <v>68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69</v>
      </c>
      <c r="B35" s="10" t="s">
        <v>70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0" t="s">
        <v>73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74</v>
      </c>
      <c r="B38" s="10" t="s">
        <v>73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75</v>
      </c>
      <c r="B39" s="10" t="s">
        <v>35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76</v>
      </c>
      <c r="B40" s="10" t="s">
        <v>35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77</v>
      </c>
      <c r="B41" s="10" t="s">
        <v>35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78</v>
      </c>
      <c r="B42" s="10" t="s">
        <v>68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79</v>
      </c>
      <c r="B43" s="10" t="s">
        <v>54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0" t="s">
        <v>54</v>
      </c>
      <c r="C45" s="11">
        <f>Base!B45</f>
        <v>25</v>
      </c>
      <c r="D45" s="12">
        <f>'Alientormenta'!B45</f>
        <v>25</v>
      </c>
      <c r="E45" s="12">
        <f>'Abrasanubes'!B45</f>
        <v>25</v>
      </c>
      <c r="F45" s="12">
        <f>'Ventoscuro'!B45</f>
        <v>25</v>
      </c>
      <c r="G45" s="12">
        <f>'Fulgor'!B45</f>
        <v>25</v>
      </c>
    </row>
    <row r="46" spans="1:7" x14ac:dyDescent="0.25">
      <c r="A46" s="9" t="s">
        <v>82</v>
      </c>
      <c r="B46" s="10" t="s">
        <v>35</v>
      </c>
      <c r="C46" s="11">
        <f>Base!B46</f>
        <v>0.6</v>
      </c>
      <c r="D46" s="12">
        <f>'Alientormenta'!B46</f>
        <v>0.6</v>
      </c>
      <c r="E46" s="12">
        <f>'Abrasanubes'!B46</f>
        <v>0.6</v>
      </c>
      <c r="F46" s="12">
        <f>'Ventoscuro'!B46</f>
        <v>0.6</v>
      </c>
      <c r="G46" s="12">
        <f>'Fulgor'!B46</f>
        <v>0.6</v>
      </c>
    </row>
    <row r="47" spans="1:7" x14ac:dyDescent="0.25">
      <c r="A47" s="9" t="s">
        <v>83</v>
      </c>
      <c r="B47" s="10" t="s">
        <v>35</v>
      </c>
      <c r="C47" s="11">
        <f>Base!B47</f>
        <v>1</v>
      </c>
      <c r="D47" s="12">
        <f>'Alientormenta'!B47</f>
        <v>1</v>
      </c>
      <c r="E47" s="12">
        <f>'Abrasanubes'!B47</f>
        <v>1</v>
      </c>
      <c r="F47" s="12">
        <f>'Ventoscuro'!B47</f>
        <v>1</v>
      </c>
      <c r="G47" s="12">
        <f>'Fulgor'!B47</f>
        <v>1</v>
      </c>
    </row>
    <row r="48" spans="1:7" x14ac:dyDescent="0.25">
      <c r="A48" s="9" t="s">
        <v>84</v>
      </c>
      <c r="B48" s="10" t="s">
        <v>54</v>
      </c>
      <c r="C48" s="11">
        <f>Base!B48</f>
        <v>400</v>
      </c>
      <c r="D48" s="12">
        <f>'Alientormenta'!B48</f>
        <v>400</v>
      </c>
      <c r="E48" s="12">
        <f>'Abrasanubes'!B48</f>
        <v>400</v>
      </c>
      <c r="F48" s="12">
        <f>'Ventoscuro'!B48</f>
        <v>400</v>
      </c>
      <c r="G48" s="12">
        <f>'Fulgor'!B48</f>
        <v>400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D5:G48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</v>
      </c>
      <c r="B1" s="4"/>
      <c r="C1" s="4"/>
      <c r="D1" s="4"/>
      <c r="E1" s="4"/>
    </row>
    <row r="2" spans="1:5" x14ac:dyDescent="0.25">
      <c r="A2" s="5" t="s">
        <v>85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30</v>
      </c>
      <c r="B5" s="8"/>
      <c r="C5" s="8"/>
      <c r="D5" s="8"/>
      <c r="E5" s="8"/>
    </row>
    <row r="6" spans="1:5" x14ac:dyDescent="0.25">
      <c r="A6" s="9" t="s">
        <v>31</v>
      </c>
      <c r="B6" s="16">
        <v>100</v>
      </c>
      <c r="C6" s="10" t="s">
        <v>32</v>
      </c>
      <c r="D6" s="17" t="s">
        <v>89</v>
      </c>
      <c r="E6" s="18" t="s">
        <v>90</v>
      </c>
    </row>
    <row r="7" spans="1:5" x14ac:dyDescent="0.25">
      <c r="A7" s="9" t="s">
        <v>33</v>
      </c>
      <c r="B7" s="16">
        <v>50</v>
      </c>
      <c r="C7" s="10" t="s">
        <v>32</v>
      </c>
      <c r="D7" s="17" t="s">
        <v>91</v>
      </c>
      <c r="E7" s="18" t="s">
        <v>92</v>
      </c>
    </row>
    <row r="8" spans="1:5" x14ac:dyDescent="0.25">
      <c r="A8" s="9" t="s">
        <v>34</v>
      </c>
      <c r="B8" s="16">
        <v>5</v>
      </c>
      <c r="C8" s="10" t="s">
        <v>35</v>
      </c>
      <c r="D8" s="17" t="s">
        <v>93</v>
      </c>
      <c r="E8" s="18" t="s">
        <v>94</v>
      </c>
    </row>
    <row r="9" spans="1:5" x14ac:dyDescent="0.25">
      <c r="A9" s="9" t="s">
        <v>36</v>
      </c>
      <c r="B9" s="16">
        <v>5</v>
      </c>
      <c r="C9" s="10" t="s">
        <v>37</v>
      </c>
      <c r="D9" s="17" t="s">
        <v>95</v>
      </c>
      <c r="E9" s="18" t="s">
        <v>96</v>
      </c>
    </row>
    <row r="10" spans="1:5" x14ac:dyDescent="0.25">
      <c r="A10" s="9" t="s">
        <v>38</v>
      </c>
      <c r="B10" s="16">
        <v>2</v>
      </c>
      <c r="C10" s="10" t="s">
        <v>39</v>
      </c>
      <c r="D10" s="17" t="s">
        <v>97</v>
      </c>
      <c r="E10" s="18" t="s">
        <v>98</v>
      </c>
    </row>
    <row r="11" spans="1:5" x14ac:dyDescent="0.25">
      <c r="A11" s="13" t="s">
        <v>40</v>
      </c>
      <c r="B11" s="16">
        <v>5</v>
      </c>
      <c r="C11" s="10" t="s">
        <v>35</v>
      </c>
      <c r="D11" s="17" t="s">
        <v>99</v>
      </c>
      <c r="E11" s="18" t="s">
        <v>100</v>
      </c>
    </row>
    <row r="12" spans="1:5" x14ac:dyDescent="0.25">
      <c r="A12" s="13" t="s">
        <v>41</v>
      </c>
      <c r="B12" s="16">
        <v>1</v>
      </c>
      <c r="C12" s="10" t="s">
        <v>39</v>
      </c>
      <c r="D12" s="17" t="s">
        <v>101</v>
      </c>
      <c r="E12" s="18" t="s">
        <v>102</v>
      </c>
    </row>
    <row r="13" ht="20" customHeight="1" spans="1:5" x14ac:dyDescent="0.25">
      <c r="A13" s="8" t="s">
        <v>42</v>
      </c>
      <c r="B13" s="8"/>
      <c r="C13" s="8"/>
      <c r="D13" s="8"/>
      <c r="E13" s="8"/>
    </row>
    <row r="14" spans="1:5" x14ac:dyDescent="0.25">
      <c r="A14" s="9" t="s">
        <v>43</v>
      </c>
      <c r="B14" s="16">
        <v>5</v>
      </c>
      <c r="C14" s="10" t="s">
        <v>32</v>
      </c>
      <c r="D14" s="17" t="s">
        <v>103</v>
      </c>
      <c r="E14" s="18" t="s">
        <v>104</v>
      </c>
    </row>
    <row r="15" spans="1:5" x14ac:dyDescent="0.25">
      <c r="A15" s="9" t="s">
        <v>44</v>
      </c>
      <c r="B15" s="16">
        <v>20</v>
      </c>
      <c r="C15" s="10" t="s">
        <v>45</v>
      </c>
      <c r="D15" s="17" t="s">
        <v>105</v>
      </c>
      <c r="E15" s="18" t="s">
        <v>106</v>
      </c>
    </row>
    <row r="16" spans="1:5" x14ac:dyDescent="0.25">
      <c r="A16" s="13" t="s">
        <v>46</v>
      </c>
      <c r="B16" s="16">
        <v>0.1</v>
      </c>
      <c r="C16" s="10" t="s">
        <v>35</v>
      </c>
      <c r="D16" s="17" t="s">
        <v>107</v>
      </c>
      <c r="E16" s="18" t="s">
        <v>108</v>
      </c>
    </row>
    <row r="17" spans="1:5" x14ac:dyDescent="0.25">
      <c r="A17" s="13" t="s">
        <v>47</v>
      </c>
      <c r="B17" s="16">
        <v>1</v>
      </c>
      <c r="C17" s="10" t="s">
        <v>35</v>
      </c>
      <c r="D17" s="17" t="s">
        <v>109</v>
      </c>
      <c r="E17" s="18" t="s">
        <v>110</v>
      </c>
    </row>
    <row r="18" spans="1:5" x14ac:dyDescent="0.25">
      <c r="A18" s="13" t="s">
        <v>48</v>
      </c>
      <c r="B18" s="16">
        <v>8</v>
      </c>
      <c r="C18" s="10" t="s">
        <v>49</v>
      </c>
      <c r="D18" s="17" t="s">
        <v>111</v>
      </c>
      <c r="E18" s="18" t="s">
        <v>112</v>
      </c>
    </row>
    <row r="19" ht="20" customHeight="1" spans="1:5" x14ac:dyDescent="0.25">
      <c r="A19" s="8" t="s">
        <v>50</v>
      </c>
      <c r="B19" s="8"/>
      <c r="C19" s="8"/>
      <c r="D19" s="8"/>
      <c r="E19" s="8"/>
    </row>
    <row r="20" spans="1:5" x14ac:dyDescent="0.25">
      <c r="A20" s="9" t="s">
        <v>51</v>
      </c>
      <c r="B20" s="16">
        <v>60</v>
      </c>
      <c r="C20" s="10" t="s">
        <v>32</v>
      </c>
      <c r="D20" s="17" t="s">
        <v>113</v>
      </c>
      <c r="E20" s="18" t="s">
        <v>114</v>
      </c>
    </row>
    <row r="21" spans="1:5" x14ac:dyDescent="0.25">
      <c r="A21" s="9" t="s">
        <v>52</v>
      </c>
      <c r="B21" s="16">
        <v>20</v>
      </c>
      <c r="C21" s="10" t="s">
        <v>45</v>
      </c>
      <c r="D21" s="17" t="s">
        <v>115</v>
      </c>
      <c r="E21" s="18" t="s">
        <v>116</v>
      </c>
    </row>
    <row r="22" spans="1:5" x14ac:dyDescent="0.25">
      <c r="A22" s="13" t="s">
        <v>53</v>
      </c>
      <c r="B22" s="16">
        <v>3000</v>
      </c>
      <c r="C22" s="10" t="s">
        <v>54</v>
      </c>
      <c r="D22" s="17" t="s">
        <v>117</v>
      </c>
      <c r="E22" s="18" t="s">
        <v>118</v>
      </c>
    </row>
    <row r="23" spans="1:5" x14ac:dyDescent="0.25">
      <c r="A23" s="13" t="s">
        <v>55</v>
      </c>
      <c r="B23" s="16">
        <v>2</v>
      </c>
      <c r="C23" s="10" t="s">
        <v>35</v>
      </c>
      <c r="D23" s="17" t="s">
        <v>119</v>
      </c>
      <c r="E23" s="18" t="s">
        <v>120</v>
      </c>
    </row>
    <row r="24" ht="20" customHeight="1" spans="1:5" x14ac:dyDescent="0.25">
      <c r="A24" s="8" t="s">
        <v>56</v>
      </c>
      <c r="B24" s="8"/>
      <c r="C24" s="8"/>
      <c r="D24" s="8"/>
      <c r="E24" s="8"/>
    </row>
    <row r="25" spans="1:5" x14ac:dyDescent="0.25">
      <c r="A25" s="9" t="s">
        <v>57</v>
      </c>
      <c r="B25" s="16">
        <v>15</v>
      </c>
      <c r="C25" s="10" t="s">
        <v>37</v>
      </c>
      <c r="D25" s="17" t="s">
        <v>121</v>
      </c>
      <c r="E25" s="18" t="s">
        <v>122</v>
      </c>
    </row>
    <row r="26" spans="1:5" x14ac:dyDescent="0.25">
      <c r="A26" s="9" t="s">
        <v>58</v>
      </c>
      <c r="B26" s="16">
        <v>300</v>
      </c>
      <c r="C26" s="10" t="s">
        <v>54</v>
      </c>
      <c r="D26" s="17" t="s">
        <v>123</v>
      </c>
      <c r="E26" s="18" t="s">
        <v>124</v>
      </c>
    </row>
    <row r="27" spans="1:5" x14ac:dyDescent="0.25">
      <c r="A27" s="9" t="s">
        <v>59</v>
      </c>
      <c r="B27" s="16">
        <v>5</v>
      </c>
      <c r="C27" s="10" t="s">
        <v>35</v>
      </c>
      <c r="D27" s="17" t="s">
        <v>125</v>
      </c>
      <c r="E27" s="18" t="s">
        <v>126</v>
      </c>
    </row>
    <row r="28" spans="1:5" x14ac:dyDescent="0.25">
      <c r="A28" s="13" t="s">
        <v>60</v>
      </c>
      <c r="B28" s="16">
        <v>10</v>
      </c>
      <c r="C28" s="10" t="s">
        <v>35</v>
      </c>
      <c r="D28" s="17" t="s">
        <v>127</v>
      </c>
      <c r="E28" s="18" t="s">
        <v>128</v>
      </c>
    </row>
    <row r="29" spans="1:5" x14ac:dyDescent="0.25">
      <c r="A29" s="13" t="s">
        <v>61</v>
      </c>
      <c r="B29" s="16">
        <v>4</v>
      </c>
      <c r="C29" s="10" t="s">
        <v>35</v>
      </c>
      <c r="D29" s="17" t="s">
        <v>129</v>
      </c>
      <c r="E29" s="18" t="s">
        <v>130</v>
      </c>
    </row>
    <row r="30" ht="20" customHeight="1" spans="1:5" x14ac:dyDescent="0.25">
      <c r="A30" s="8" t="s">
        <v>62</v>
      </c>
      <c r="B30" s="8"/>
      <c r="C30" s="8"/>
      <c r="D30" s="8"/>
      <c r="E30" s="8"/>
    </row>
    <row r="31" spans="1:5" x14ac:dyDescent="0.25">
      <c r="A31" s="9" t="s">
        <v>63</v>
      </c>
      <c r="B31" s="16">
        <v>50</v>
      </c>
      <c r="C31" s="10" t="s">
        <v>37</v>
      </c>
      <c r="D31" s="17" t="s">
        <v>131</v>
      </c>
      <c r="E31" s="18" t="s">
        <v>132</v>
      </c>
    </row>
    <row r="32" spans="1:5" x14ac:dyDescent="0.25">
      <c r="A32" s="9" t="s">
        <v>64</v>
      </c>
      <c r="B32" s="16">
        <v>5</v>
      </c>
      <c r="C32" s="10" t="s">
        <v>35</v>
      </c>
      <c r="D32" s="17" t="s">
        <v>133</v>
      </c>
      <c r="E32" s="18" t="s">
        <v>134</v>
      </c>
    </row>
    <row r="33" spans="1:5" x14ac:dyDescent="0.25">
      <c r="A33" s="9" t="s">
        <v>65</v>
      </c>
      <c r="B33" s="16">
        <v>8</v>
      </c>
      <c r="C33" s="10" t="s">
        <v>66</v>
      </c>
      <c r="D33" s="17" t="s">
        <v>135</v>
      </c>
      <c r="E33" s="18" t="s">
        <v>136</v>
      </c>
    </row>
    <row r="34" spans="1:5" x14ac:dyDescent="0.25">
      <c r="A34" s="9" t="s">
        <v>67</v>
      </c>
      <c r="B34" s="16">
        <v>0.5</v>
      </c>
      <c r="C34" s="10" t="s">
        <v>68</v>
      </c>
      <c r="D34" s="17" t="s">
        <v>137</v>
      </c>
      <c r="E34" s="18" t="s">
        <v>138</v>
      </c>
    </row>
    <row r="35" spans="1:5" x14ac:dyDescent="0.25">
      <c r="A35" s="9" t="s">
        <v>69</v>
      </c>
      <c r="B35" s="16">
        <v>5</v>
      </c>
      <c r="C35" s="10" t="s">
        <v>70</v>
      </c>
      <c r="D35" s="17" t="s">
        <v>139</v>
      </c>
      <c r="E35" s="18" t="s">
        <v>140</v>
      </c>
    </row>
    <row r="36" ht="20" customHeight="1" spans="1:5" x14ac:dyDescent="0.25">
      <c r="A36" s="8" t="s">
        <v>71</v>
      </c>
      <c r="B36" s="8"/>
      <c r="C36" s="8"/>
      <c r="D36" s="8"/>
      <c r="E36" s="8"/>
    </row>
    <row r="37" spans="1:5" x14ac:dyDescent="0.25">
      <c r="A37" s="9" t="s">
        <v>72</v>
      </c>
      <c r="B37" s="16">
        <v>600</v>
      </c>
      <c r="C37" s="10" t="s">
        <v>73</v>
      </c>
      <c r="D37" s="17" t="s">
        <v>141</v>
      </c>
      <c r="E37" s="18" t="s">
        <v>142</v>
      </c>
    </row>
    <row r="38" spans="1:5" x14ac:dyDescent="0.25">
      <c r="A38" s="9" t="s">
        <v>74</v>
      </c>
      <c r="B38" s="16">
        <v>1000</v>
      </c>
      <c r="C38" s="10" t="s">
        <v>73</v>
      </c>
      <c r="D38" s="17" t="s">
        <v>143</v>
      </c>
      <c r="E38" s="18" t="s">
        <v>144</v>
      </c>
    </row>
    <row r="39" spans="1:5" x14ac:dyDescent="0.25">
      <c r="A39" s="9" t="s">
        <v>75</v>
      </c>
      <c r="B39" s="16">
        <v>10</v>
      </c>
      <c r="C39" s="10" t="s">
        <v>35</v>
      </c>
      <c r="D39" s="17" t="s">
        <v>145</v>
      </c>
      <c r="E39" s="18" t="s">
        <v>146</v>
      </c>
    </row>
    <row r="40" spans="1:5" x14ac:dyDescent="0.25">
      <c r="A40" s="9" t="s">
        <v>76</v>
      </c>
      <c r="B40" s="16">
        <v>3</v>
      </c>
      <c r="C40" s="10" t="s">
        <v>35</v>
      </c>
      <c r="D40" s="17" t="s">
        <v>147</v>
      </c>
      <c r="E40" s="18" t="s">
        <v>148</v>
      </c>
    </row>
    <row r="41" spans="1:5" x14ac:dyDescent="0.25">
      <c r="A41" s="9" t="s">
        <v>77</v>
      </c>
      <c r="B41" s="16">
        <v>2</v>
      </c>
      <c r="C41" s="10" t="s">
        <v>35</v>
      </c>
      <c r="D41" s="17" t="s">
        <v>149</v>
      </c>
      <c r="E41" s="18" t="s">
        <v>150</v>
      </c>
    </row>
    <row r="42" spans="1:5" x14ac:dyDescent="0.25">
      <c r="A42" s="9" t="s">
        <v>78</v>
      </c>
      <c r="B42" s="16">
        <v>2</v>
      </c>
      <c r="C42" s="10" t="s">
        <v>68</v>
      </c>
      <c r="D42" s="17" t="s">
        <v>151</v>
      </c>
      <c r="E42" s="18" t="s">
        <v>152</v>
      </c>
    </row>
    <row r="43" spans="1:5" x14ac:dyDescent="0.25">
      <c r="A43" s="9" t="s">
        <v>79</v>
      </c>
      <c r="B43" s="16">
        <v>110</v>
      </c>
      <c r="C43" s="10" t="s">
        <v>54</v>
      </c>
      <c r="D43" s="17" t="s">
        <v>153</v>
      </c>
      <c r="E43" s="18" t="s">
        <v>154</v>
      </c>
    </row>
    <row r="44" ht="20" customHeight="1" spans="1:5" x14ac:dyDescent="0.25">
      <c r="A44" s="8" t="s">
        <v>80</v>
      </c>
      <c r="B44" s="8"/>
      <c r="C44" s="8"/>
      <c r="D44" s="8"/>
      <c r="E44" s="8"/>
    </row>
    <row r="45" spans="1:5" x14ac:dyDescent="0.25">
      <c r="A45" s="9" t="s">
        <v>81</v>
      </c>
      <c r="B45" s="16">
        <v>25</v>
      </c>
      <c r="C45" s="10" t="s">
        <v>54</v>
      </c>
      <c r="D45" s="17" t="s">
        <v>155</v>
      </c>
      <c r="E45" s="18" t="s">
        <v>156</v>
      </c>
    </row>
    <row r="46" spans="1:5" x14ac:dyDescent="0.25">
      <c r="A46" s="9" t="s">
        <v>82</v>
      </c>
      <c r="B46" s="16">
        <v>0.6</v>
      </c>
      <c r="C46" s="10" t="s">
        <v>35</v>
      </c>
      <c r="D46" s="17" t="s">
        <v>157</v>
      </c>
      <c r="E46" s="18" t="s">
        <v>158</v>
      </c>
    </row>
    <row r="47" spans="1:5" x14ac:dyDescent="0.25">
      <c r="A47" s="9" t="s">
        <v>83</v>
      </c>
      <c r="B47" s="16">
        <v>1</v>
      </c>
      <c r="C47" s="10" t="s">
        <v>35</v>
      </c>
      <c r="D47" s="17" t="s">
        <v>159</v>
      </c>
      <c r="E47" s="18" t="s">
        <v>160</v>
      </c>
    </row>
    <row r="48" spans="1:5" x14ac:dyDescent="0.25">
      <c r="A48" s="9" t="s">
        <v>84</v>
      </c>
      <c r="B48" s="16">
        <v>400</v>
      </c>
      <c r="C48" s="10" t="s">
        <v>54</v>
      </c>
      <c r="D48" s="17" t="s">
        <v>161</v>
      </c>
      <c r="E48" s="18" t="s">
        <v>162</v>
      </c>
    </row>
  </sheetData>
  <mergeCells count="9">
    <mergeCell ref="A1:E1"/>
    <mergeCell ref="A2:E2"/>
    <mergeCell ref="A5:E5"/>
    <mergeCell ref="A13:E13"/>
    <mergeCell ref="A19:E19"/>
    <mergeCell ref="A24:E24"/>
    <mergeCell ref="A30:E30"/>
    <mergeCell ref="A36:E36"/>
    <mergeCell ref="A44:E4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25</v>
      </c>
      <c r="C45" s="10" t="s">
        <v>54</v>
      </c>
      <c r="D45" s="10">
        <f>Base!B45</f>
        <v>25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0.6</v>
      </c>
      <c r="C46" s="10" t="s">
        <v>35</v>
      </c>
      <c r="D46" s="10">
        <f>Base!B46</f>
        <v>0.6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25</v>
      </c>
      <c r="C45" s="10" t="s">
        <v>54</v>
      </c>
      <c r="D45" s="10">
        <f>Base!B45</f>
        <v>25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0.6</v>
      </c>
      <c r="C46" s="10" t="s">
        <v>35</v>
      </c>
      <c r="D46" s="10">
        <f>Base!B46</f>
        <v>0.6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25</v>
      </c>
      <c r="C45" s="10" t="s">
        <v>54</v>
      </c>
      <c r="D45" s="10">
        <f>Base!B45</f>
        <v>25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0.6</v>
      </c>
      <c r="C46" s="10" t="s">
        <v>35</v>
      </c>
      <c r="D46" s="10">
        <f>Base!B46</f>
        <v>0.6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29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25</v>
      </c>
      <c r="C45" s="10" t="s">
        <v>54</v>
      </c>
      <c r="D45" s="10">
        <f>Base!B45</f>
        <v>25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0.6</v>
      </c>
      <c r="C46" s="10" t="s">
        <v>35</v>
      </c>
      <c r="D46" s="10">
        <f>Base!B46</f>
        <v>0.6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165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167</v>
      </c>
      <c r="B5" s="8"/>
      <c r="C5" s="8"/>
      <c r="D5" s="8"/>
      <c r="E5" s="8"/>
    </row>
    <row r="6" spans="1:5" x14ac:dyDescent="0.25">
      <c r="A6" s="9" t="s">
        <v>31</v>
      </c>
      <c r="B6" s="16">
        <v>70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72</v>
      </c>
      <c r="B7" s="16">
        <v>500</v>
      </c>
      <c r="C7" s="10" t="s">
        <v>73</v>
      </c>
      <c r="D7" s="17" t="s">
        <v>168</v>
      </c>
      <c r="E7" s="18" t="s">
        <v>169</v>
      </c>
    </row>
    <row r="8" spans="1:5" x14ac:dyDescent="0.25">
      <c r="A8" s="9" t="s">
        <v>79</v>
      </c>
      <c r="B8" s="16">
        <v>130</v>
      </c>
      <c r="C8" s="10" t="s">
        <v>54</v>
      </c>
      <c r="D8" s="17" t="s">
        <v>170</v>
      </c>
      <c r="E8" s="18" t="s">
        <v>154</v>
      </c>
    </row>
    <row r="9" spans="1:5" x14ac:dyDescent="0.25">
      <c r="A9" s="9" t="s">
        <v>171</v>
      </c>
      <c r="B9" s="16">
        <v>2000</v>
      </c>
      <c r="C9" s="10" t="s">
        <v>54</v>
      </c>
      <c r="D9" s="17" t="s">
        <v>172</v>
      </c>
      <c r="E9" s="18" t="s">
        <v>173</v>
      </c>
    </row>
    <row r="10" spans="1:5" x14ac:dyDescent="0.25">
      <c r="A10" s="9" t="s">
        <v>174</v>
      </c>
      <c r="B10" s="16">
        <v>3500</v>
      </c>
      <c r="C10" s="10" t="s">
        <v>54</v>
      </c>
      <c r="D10" s="17" t="s">
        <v>168</v>
      </c>
      <c r="E10" s="18" t="s">
        <v>175</v>
      </c>
    </row>
    <row r="11" spans="1:5" x14ac:dyDescent="0.25">
      <c r="A11" s="9" t="s">
        <v>176</v>
      </c>
      <c r="B11" s="16">
        <v>300</v>
      </c>
      <c r="C11" s="10" t="s">
        <v>32</v>
      </c>
      <c r="D11" s="17" t="s">
        <v>168</v>
      </c>
      <c r="E11" s="18" t="s">
        <v>32</v>
      </c>
    </row>
    <row r="12" ht="20" customHeight="1" spans="1:5" x14ac:dyDescent="0.25">
      <c r="A12" s="8" t="s">
        <v>177</v>
      </c>
      <c r="B12" s="8"/>
      <c r="C12" s="8"/>
      <c r="D12" s="8"/>
      <c r="E12" s="8"/>
    </row>
    <row r="13" spans="1:5" x14ac:dyDescent="0.25">
      <c r="A13" s="13" t="s">
        <v>178</v>
      </c>
      <c r="B13" s="16">
        <v>1800</v>
      </c>
      <c r="C13" s="10" t="s">
        <v>54</v>
      </c>
      <c r="D13" s="17" t="s">
        <v>179</v>
      </c>
      <c r="E13" s="18" t="s">
        <v>180</v>
      </c>
    </row>
    <row r="14" spans="1:5" x14ac:dyDescent="0.25">
      <c r="A14" s="13" t="s">
        <v>181</v>
      </c>
      <c r="B14" s="16">
        <v>10</v>
      </c>
      <c r="C14" s="10" t="s">
        <v>35</v>
      </c>
      <c r="D14" s="17" t="s">
        <v>182</v>
      </c>
      <c r="E14" s="18" t="s">
        <v>183</v>
      </c>
    </row>
    <row r="15" spans="1:5" x14ac:dyDescent="0.25">
      <c r="A15" s="13" t="s">
        <v>184</v>
      </c>
      <c r="B15" s="16">
        <v>18</v>
      </c>
      <c r="C15" s="10" t="s">
        <v>35</v>
      </c>
      <c r="D15" s="17" t="s">
        <v>168</v>
      </c>
      <c r="E15" s="18" t="s">
        <v>185</v>
      </c>
    </row>
    <row r="16" ht="20" customHeight="1" spans="1:5" x14ac:dyDescent="0.25">
      <c r="A16" s="8" t="s">
        <v>186</v>
      </c>
      <c r="B16" s="8"/>
      <c r="C16" s="8"/>
      <c r="D16" s="8"/>
      <c r="E16" s="8"/>
    </row>
    <row r="17" spans="1:5" x14ac:dyDescent="0.25">
      <c r="A17" s="9" t="s">
        <v>187</v>
      </c>
      <c r="B17" s="16">
        <v>10</v>
      </c>
      <c r="C17" s="10" t="s">
        <v>32</v>
      </c>
      <c r="D17" s="17" t="s">
        <v>168</v>
      </c>
      <c r="E17" s="18" t="s">
        <v>188</v>
      </c>
    </row>
    <row r="18" spans="1:5" x14ac:dyDescent="0.25">
      <c r="A18" s="9" t="s">
        <v>189</v>
      </c>
      <c r="B18" s="16">
        <v>1000</v>
      </c>
      <c r="C18" s="10" t="s">
        <v>54</v>
      </c>
      <c r="D18" s="17" t="s">
        <v>168</v>
      </c>
      <c r="E18" s="18" t="s">
        <v>190</v>
      </c>
    </row>
    <row r="19" spans="1:5" x14ac:dyDescent="0.25">
      <c r="A19" s="9" t="s">
        <v>191</v>
      </c>
      <c r="B19" s="16">
        <v>1.7</v>
      </c>
      <c r="C19" s="10" t="s">
        <v>35</v>
      </c>
      <c r="D19" s="17" t="s">
        <v>168</v>
      </c>
      <c r="E19" s="18" t="s">
        <v>192</v>
      </c>
    </row>
    <row r="20" spans="1:5" x14ac:dyDescent="0.25">
      <c r="A20" s="9" t="s">
        <v>193</v>
      </c>
      <c r="B20" s="16">
        <v>2.9</v>
      </c>
      <c r="C20" s="10" t="s">
        <v>35</v>
      </c>
      <c r="D20" s="17" t="s">
        <v>168</v>
      </c>
      <c r="E20" s="18" t="s">
        <v>194</v>
      </c>
    </row>
    <row r="21" spans="1:5" x14ac:dyDescent="0.25">
      <c r="A21" s="9" t="s">
        <v>195</v>
      </c>
      <c r="B21" s="16">
        <v>2.2</v>
      </c>
      <c r="C21" s="10" t="s">
        <v>196</v>
      </c>
      <c r="D21" s="17" t="s">
        <v>168</v>
      </c>
      <c r="E21" s="18" t="s">
        <v>197</v>
      </c>
    </row>
    <row r="22" ht="20" customHeight="1" spans="1:5" x14ac:dyDescent="0.25">
      <c r="A22" s="8" t="s">
        <v>198</v>
      </c>
      <c r="B22" s="8"/>
      <c r="C22" s="8"/>
      <c r="D22" s="8"/>
      <c r="E22" s="8"/>
    </row>
    <row r="23" spans="1:5" x14ac:dyDescent="0.25">
      <c r="A23" s="9" t="s">
        <v>199</v>
      </c>
      <c r="B23" s="16">
        <v>30</v>
      </c>
      <c r="C23" s="10" t="s">
        <v>32</v>
      </c>
      <c r="D23" s="17" t="s">
        <v>168</v>
      </c>
      <c r="E23" s="18" t="s">
        <v>200</v>
      </c>
    </row>
    <row r="24" spans="1:5" x14ac:dyDescent="0.25">
      <c r="A24" s="9" t="s">
        <v>55</v>
      </c>
      <c r="B24" s="16">
        <v>4</v>
      </c>
      <c r="C24" s="10" t="s">
        <v>35</v>
      </c>
      <c r="D24" s="17" t="s">
        <v>201</v>
      </c>
      <c r="E24" s="18" t="s">
        <v>202</v>
      </c>
    </row>
    <row r="25" spans="1:5" x14ac:dyDescent="0.25">
      <c r="A25" s="9" t="s">
        <v>203</v>
      </c>
      <c r="B25" s="16">
        <v>500</v>
      </c>
      <c r="C25" s="10" t="s">
        <v>54</v>
      </c>
      <c r="D25" s="17" t="s">
        <v>168</v>
      </c>
      <c r="E25" s="18" t="s">
        <v>204</v>
      </c>
    </row>
    <row r="26" spans="1:5" x14ac:dyDescent="0.25">
      <c r="A26" s="9" t="s">
        <v>205</v>
      </c>
      <c r="B26" s="16">
        <v>2000</v>
      </c>
      <c r="C26" s="10" t="s">
        <v>54</v>
      </c>
      <c r="D26" s="17" t="s">
        <v>168</v>
      </c>
      <c r="E26" s="18" t="s">
        <v>206</v>
      </c>
    </row>
    <row r="27" spans="1:5" x14ac:dyDescent="0.25">
      <c r="A27" s="9" t="s">
        <v>207</v>
      </c>
      <c r="B27" s="16">
        <v>60</v>
      </c>
      <c r="C27" s="10" t="s">
        <v>35</v>
      </c>
      <c r="D27" s="17" t="s">
        <v>168</v>
      </c>
      <c r="E27" s="18" t="s">
        <v>208</v>
      </c>
    </row>
    <row r="28" spans="1:5" x14ac:dyDescent="0.25">
      <c r="A28" s="9" t="s">
        <v>209</v>
      </c>
      <c r="B28" s="16">
        <v>20</v>
      </c>
      <c r="C28" s="10" t="s">
        <v>35</v>
      </c>
      <c r="D28" s="17" t="s">
        <v>210</v>
      </c>
      <c r="E28" s="18" t="s">
        <v>211</v>
      </c>
    </row>
    <row r="29" spans="1:5" x14ac:dyDescent="0.25">
      <c r="A29" s="9" t="s">
        <v>212</v>
      </c>
      <c r="B29" s="16">
        <v>1152</v>
      </c>
      <c r="C29" s="10" t="s">
        <v>73</v>
      </c>
      <c r="D29" s="17" t="s">
        <v>168</v>
      </c>
      <c r="E29" s="18" t="s">
        <v>213</v>
      </c>
    </row>
    <row r="30" spans="1:5" x14ac:dyDescent="0.25">
      <c r="A30" s="9" t="s">
        <v>214</v>
      </c>
      <c r="B30" s="16">
        <v>30</v>
      </c>
      <c r="C30" s="10" t="s">
        <v>215</v>
      </c>
      <c r="D30" s="17" t="s">
        <v>216</v>
      </c>
      <c r="E30" s="18" t="s">
        <v>217</v>
      </c>
    </row>
    <row r="31" ht="20" customHeight="1" spans="1:5" x14ac:dyDescent="0.25">
      <c r="A31" s="8" t="s">
        <v>218</v>
      </c>
      <c r="B31" s="8"/>
      <c r="C31" s="8"/>
      <c r="D31" s="8"/>
      <c r="E31" s="8"/>
    </row>
    <row r="32" spans="1:5" x14ac:dyDescent="0.25">
      <c r="A32" s="9" t="s">
        <v>219</v>
      </c>
      <c r="B32" s="16">
        <v>25</v>
      </c>
      <c r="C32" s="10" t="s">
        <v>32</v>
      </c>
      <c r="D32" s="17" t="s">
        <v>168</v>
      </c>
      <c r="E32" s="18" t="s">
        <v>220</v>
      </c>
    </row>
    <row r="33" spans="1:5" x14ac:dyDescent="0.25">
      <c r="A33" s="9" t="s">
        <v>221</v>
      </c>
      <c r="B33" s="16">
        <v>50</v>
      </c>
      <c r="C33" s="10" t="s">
        <v>32</v>
      </c>
      <c r="D33" s="17" t="s">
        <v>168</v>
      </c>
      <c r="E33" s="18" t="s">
        <v>222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223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60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225</v>
      </c>
      <c r="B7" s="16">
        <v>100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226</v>
      </c>
      <c r="B8" s="16">
        <v>1</v>
      </c>
      <c r="C8" s="10" t="s">
        <v>227</v>
      </c>
      <c r="D8" s="17" t="s">
        <v>228</v>
      </c>
      <c r="E8" s="18" t="s">
        <v>229</v>
      </c>
    </row>
    <row r="9" ht="20" customHeight="1" spans="1:5" x14ac:dyDescent="0.25">
      <c r="A9" s="8" t="s">
        <v>230</v>
      </c>
      <c r="B9" s="8"/>
      <c r="C9" s="8"/>
      <c r="D9" s="8"/>
      <c r="E9" s="8"/>
    </row>
    <row r="10" spans="1:5" x14ac:dyDescent="0.25">
      <c r="A10" s="9" t="s">
        <v>231</v>
      </c>
      <c r="B10" s="16">
        <v>3</v>
      </c>
      <c r="C10" s="10" t="s">
        <v>32</v>
      </c>
      <c r="D10" s="17" t="s">
        <v>168</v>
      </c>
      <c r="E10" s="18" t="s">
        <v>232</v>
      </c>
    </row>
    <row r="11" spans="1:5" x14ac:dyDescent="0.25">
      <c r="A11" s="9" t="s">
        <v>189</v>
      </c>
      <c r="B11" s="16">
        <v>1000</v>
      </c>
      <c r="C11" s="10" t="s">
        <v>54</v>
      </c>
      <c r="D11" s="17" t="s">
        <v>168</v>
      </c>
      <c r="E11" s="18" t="s">
        <v>233</v>
      </c>
    </row>
    <row r="12" spans="1:5" x14ac:dyDescent="0.25">
      <c r="A12" s="9" t="s">
        <v>234</v>
      </c>
      <c r="B12" s="16">
        <v>5</v>
      </c>
      <c r="C12" s="10" t="s">
        <v>45</v>
      </c>
      <c r="D12" s="17" t="s">
        <v>168</v>
      </c>
      <c r="E12" s="18" t="s">
        <v>235</v>
      </c>
    </row>
    <row r="13" spans="1:5" x14ac:dyDescent="0.25">
      <c r="A13" s="9" t="s">
        <v>236</v>
      </c>
      <c r="B13" s="16">
        <v>0.12</v>
      </c>
      <c r="C13" s="10" t="s">
        <v>35</v>
      </c>
      <c r="D13" s="17" t="s">
        <v>168</v>
      </c>
      <c r="E13" s="18" t="s">
        <v>237</v>
      </c>
    </row>
    <row r="14" spans="1:5" x14ac:dyDescent="0.25">
      <c r="A14" s="9" t="s">
        <v>238</v>
      </c>
      <c r="B14" s="16">
        <v>2.2</v>
      </c>
      <c r="C14" s="10" t="s">
        <v>35</v>
      </c>
      <c r="D14" s="17" t="s">
        <v>168</v>
      </c>
      <c r="E14" s="18" t="s">
        <v>239</v>
      </c>
    </row>
    <row r="15" spans="1:5" x14ac:dyDescent="0.25">
      <c r="A15" s="9" t="s">
        <v>240</v>
      </c>
      <c r="B15" s="16">
        <v>3.6</v>
      </c>
      <c r="C15" s="10" t="s">
        <v>35</v>
      </c>
      <c r="D15" s="17" t="s">
        <v>168</v>
      </c>
      <c r="E15" s="18" t="s">
        <v>241</v>
      </c>
    </row>
    <row r="16" spans="1:5" x14ac:dyDescent="0.25">
      <c r="A16" s="9" t="s">
        <v>242</v>
      </c>
      <c r="B16" s="16">
        <v>1100</v>
      </c>
      <c r="C16" s="10" t="s">
        <v>243</v>
      </c>
      <c r="D16" s="17" t="s">
        <v>168</v>
      </c>
      <c r="E16" s="18" t="s">
        <v>244</v>
      </c>
    </row>
    <row r="17" spans="1:5" x14ac:dyDescent="0.25">
      <c r="A17" s="9" t="s">
        <v>245</v>
      </c>
      <c r="B17" s="16">
        <v>2</v>
      </c>
      <c r="C17" s="10" t="s">
        <v>246</v>
      </c>
      <c r="D17" s="17" t="s">
        <v>168</v>
      </c>
      <c r="E17" s="18" t="s">
        <v>247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248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249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250</v>
      </c>
      <c r="B8" s="8"/>
      <c r="C8" s="8"/>
      <c r="D8" s="8"/>
      <c r="E8" s="8"/>
    </row>
    <row r="9" spans="1:5" x14ac:dyDescent="0.25">
      <c r="A9" s="9" t="s">
        <v>231</v>
      </c>
      <c r="B9" s="16">
        <v>1</v>
      </c>
      <c r="C9" s="10" t="s">
        <v>32</v>
      </c>
      <c r="D9" s="17" t="s">
        <v>168</v>
      </c>
      <c r="E9" s="18" t="s">
        <v>251</v>
      </c>
    </row>
    <row r="10" spans="1:5" x14ac:dyDescent="0.25">
      <c r="A10" s="9" t="s">
        <v>189</v>
      </c>
      <c r="B10" s="16">
        <v>1000</v>
      </c>
      <c r="C10" s="10" t="s">
        <v>54</v>
      </c>
      <c r="D10" s="17" t="s">
        <v>168</v>
      </c>
      <c r="E10" s="18" t="s">
        <v>252</v>
      </c>
    </row>
    <row r="11" spans="1:5" x14ac:dyDescent="0.25">
      <c r="A11" s="9" t="s">
        <v>253</v>
      </c>
      <c r="B11" s="16">
        <v>0.3</v>
      </c>
      <c r="C11" s="10" t="s">
        <v>35</v>
      </c>
      <c r="D11" s="17" t="s">
        <v>254</v>
      </c>
      <c r="E11" s="18" t="s">
        <v>255</v>
      </c>
    </row>
    <row r="12" spans="1:5" x14ac:dyDescent="0.25">
      <c r="A12" s="9" t="s">
        <v>242</v>
      </c>
      <c r="B12" s="16">
        <v>800</v>
      </c>
      <c r="C12" s="10" t="s">
        <v>243</v>
      </c>
      <c r="D12" s="17" t="s">
        <v>168</v>
      </c>
      <c r="E12" s="18" t="s">
        <v>256</v>
      </c>
    </row>
    <row r="13" spans="1:5" x14ac:dyDescent="0.25">
      <c r="A13" s="9" t="s">
        <v>245</v>
      </c>
      <c r="B13" s="16">
        <v>1.72</v>
      </c>
      <c r="C13" s="10" t="s">
        <v>246</v>
      </c>
      <c r="D13" s="17" t="s">
        <v>168</v>
      </c>
      <c r="E13" s="18" t="s">
        <v>257</v>
      </c>
    </row>
    <row r="14" spans="1:5" x14ac:dyDescent="0.25">
      <c r="A14" s="9" t="s">
        <v>258</v>
      </c>
      <c r="B14" s="16">
        <v>35</v>
      </c>
      <c r="C14" s="10" t="s">
        <v>246</v>
      </c>
      <c r="D14" s="17" t="s">
        <v>259</v>
      </c>
      <c r="E14" s="18" t="s">
        <v>260</v>
      </c>
    </row>
    <row r="15" spans="1:5" x14ac:dyDescent="0.25">
      <c r="A15" s="9" t="s">
        <v>261</v>
      </c>
      <c r="B15" s="16">
        <v>50</v>
      </c>
      <c r="C15" s="10" t="s">
        <v>246</v>
      </c>
      <c r="D15" s="17" t="s">
        <v>262</v>
      </c>
      <c r="E15" s="18" t="s">
        <v>263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264</v>
      </c>
      <c r="B1" s="4"/>
      <c r="C1" s="4"/>
      <c r="D1" s="4"/>
      <c r="E1" s="4"/>
    </row>
    <row r="2" spans="1:5" x14ac:dyDescent="0.25">
      <c r="A2" s="5" t="s">
        <v>265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40</v>
      </c>
      <c r="C6" s="10" t="s">
        <v>32</v>
      </c>
      <c r="D6" s="17" t="s">
        <v>266</v>
      </c>
      <c r="E6" s="18" t="s">
        <v>90</v>
      </c>
    </row>
    <row r="7" spans="1:5" x14ac:dyDescent="0.25">
      <c r="A7" s="9" t="s">
        <v>225</v>
      </c>
      <c r="B7" s="16">
        <v>80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268</v>
      </c>
      <c r="B9" s="16">
        <v>11</v>
      </c>
      <c r="C9" s="10" t="s">
        <v>54</v>
      </c>
      <c r="D9" s="17" t="s">
        <v>269</v>
      </c>
      <c r="E9" s="18" t="s">
        <v>270</v>
      </c>
    </row>
    <row r="10" spans="1:5" x14ac:dyDescent="0.25">
      <c r="A10" s="9" t="s">
        <v>271</v>
      </c>
      <c r="B10" s="16">
        <v>20</v>
      </c>
      <c r="C10" s="10" t="s">
        <v>73</v>
      </c>
      <c r="D10" s="17" t="s">
        <v>272</v>
      </c>
      <c r="E10" s="18" t="s">
        <v>169</v>
      </c>
    </row>
    <row r="11" ht="20" customHeight="1" spans="1:5" x14ac:dyDescent="0.25">
      <c r="A11" s="8" t="s">
        <v>273</v>
      </c>
      <c r="B11" s="8"/>
      <c r="C11" s="8"/>
      <c r="D11" s="8"/>
      <c r="E11" s="8"/>
    </row>
    <row r="12" spans="1:5" x14ac:dyDescent="0.25">
      <c r="A12" s="9" t="s">
        <v>231</v>
      </c>
      <c r="B12" s="16">
        <v>3</v>
      </c>
      <c r="C12" s="10" t="s">
        <v>32</v>
      </c>
      <c r="D12" s="17" t="s">
        <v>274</v>
      </c>
      <c r="E12" s="18" t="s">
        <v>251</v>
      </c>
    </row>
    <row r="13" spans="1:5" x14ac:dyDescent="0.25">
      <c r="A13" s="9" t="s">
        <v>189</v>
      </c>
      <c r="B13" s="16">
        <v>700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275</v>
      </c>
      <c r="B14" s="16">
        <v>6</v>
      </c>
      <c r="C14" s="10" t="s">
        <v>35</v>
      </c>
      <c r="D14" s="17" t="s">
        <v>168</v>
      </c>
      <c r="E14" s="18" t="s">
        <v>276</v>
      </c>
    </row>
    <row r="15" spans="1:5" x14ac:dyDescent="0.25">
      <c r="A15" s="9" t="s">
        <v>277</v>
      </c>
      <c r="B15" s="16">
        <v>10</v>
      </c>
      <c r="C15" s="10" t="s">
        <v>35</v>
      </c>
      <c r="D15" s="17" t="s">
        <v>168</v>
      </c>
      <c r="E15" s="18" t="s">
        <v>278</v>
      </c>
    </row>
    <row r="16" spans="1:5" x14ac:dyDescent="0.25">
      <c r="A16" s="9" t="s">
        <v>242</v>
      </c>
      <c r="B16" s="16">
        <v>200</v>
      </c>
      <c r="C16" s="10" t="s">
        <v>243</v>
      </c>
      <c r="D16" s="17" t="s">
        <v>279</v>
      </c>
      <c r="E16" s="18" t="s">
        <v>256</v>
      </c>
    </row>
    <row r="17" spans="1:5" x14ac:dyDescent="0.25">
      <c r="A17" s="9" t="s">
        <v>245</v>
      </c>
      <c r="B17" s="16">
        <v>2.5</v>
      </c>
      <c r="C17" s="10" t="s">
        <v>246</v>
      </c>
      <c r="D17" s="17" t="s">
        <v>168</v>
      </c>
      <c r="E17" s="18" t="s">
        <v>257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280</v>
      </c>
      <c r="B1" s="4"/>
      <c r="C1" s="4"/>
      <c r="D1" s="4"/>
      <c r="E1" s="4"/>
    </row>
    <row r="2" spans="1:5" x14ac:dyDescent="0.25">
      <c r="A2" s="5" t="s">
        <v>281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282</v>
      </c>
      <c r="B5" s="8"/>
      <c r="C5" s="8"/>
      <c r="D5" s="8"/>
      <c r="E5" s="8"/>
    </row>
    <row r="6" spans="1:5" x14ac:dyDescent="0.25">
      <c r="A6" s="9" t="s">
        <v>283</v>
      </c>
      <c r="B6" s="16">
        <v>300</v>
      </c>
      <c r="C6" s="10" t="s">
        <v>284</v>
      </c>
      <c r="D6" s="17" t="s">
        <v>285</v>
      </c>
      <c r="E6" s="18" t="s">
        <v>286</v>
      </c>
    </row>
    <row r="7" spans="1:5" x14ac:dyDescent="0.25">
      <c r="A7" s="9" t="s">
        <v>287</v>
      </c>
      <c r="B7" s="16">
        <v>1000</v>
      </c>
      <c r="C7" s="10" t="s">
        <v>284</v>
      </c>
      <c r="D7" s="17" t="s">
        <v>168</v>
      </c>
      <c r="E7" s="18" t="s">
        <v>288</v>
      </c>
    </row>
    <row r="8" spans="1:5" x14ac:dyDescent="0.25">
      <c r="A8" s="9" t="s">
        <v>289</v>
      </c>
      <c r="B8" s="16">
        <v>1.6</v>
      </c>
      <c r="C8" s="10" t="s">
        <v>54</v>
      </c>
      <c r="D8" s="17" t="s">
        <v>290</v>
      </c>
      <c r="E8" s="18" t="s">
        <v>291</v>
      </c>
    </row>
    <row r="9" spans="1:5" x14ac:dyDescent="0.25">
      <c r="A9" s="9" t="s">
        <v>292</v>
      </c>
      <c r="B9" s="16">
        <v>2</v>
      </c>
      <c r="C9" s="10" t="s">
        <v>32</v>
      </c>
      <c r="D9" s="17" t="s">
        <v>293</v>
      </c>
      <c r="E9" s="18" t="s">
        <v>90</v>
      </c>
    </row>
    <row r="10" spans="1:5" x14ac:dyDescent="0.25">
      <c r="A10" s="9" t="s">
        <v>294</v>
      </c>
      <c r="B10" s="16">
        <v>2</v>
      </c>
      <c r="C10" s="10" t="s">
        <v>32</v>
      </c>
      <c r="D10" s="17" t="s">
        <v>168</v>
      </c>
      <c r="E10" s="18" t="s">
        <v>295</v>
      </c>
    </row>
    <row r="11" spans="1:5" x14ac:dyDescent="0.25">
      <c r="A11" s="9" t="s">
        <v>296</v>
      </c>
      <c r="B11" s="16">
        <v>150</v>
      </c>
      <c r="C11" s="10" t="s">
        <v>32</v>
      </c>
      <c r="D11" s="17" t="s">
        <v>297</v>
      </c>
      <c r="E11" s="18" t="s">
        <v>32</v>
      </c>
    </row>
    <row r="12" spans="1:5" x14ac:dyDescent="0.25">
      <c r="A12" s="13" t="s">
        <v>298</v>
      </c>
      <c r="B12" s="16">
        <v>5</v>
      </c>
      <c r="C12" s="10" t="s">
        <v>73</v>
      </c>
      <c r="D12" s="17" t="s">
        <v>299</v>
      </c>
      <c r="E12" s="18" t="s">
        <v>169</v>
      </c>
    </row>
    <row r="13" ht="20" customHeight="1" spans="1:5" x14ac:dyDescent="0.25">
      <c r="A13" s="8" t="s">
        <v>300</v>
      </c>
      <c r="B13" s="8"/>
      <c r="C13" s="8"/>
      <c r="D13" s="8"/>
      <c r="E13" s="8"/>
    </row>
    <row r="14" spans="1:5" x14ac:dyDescent="0.25">
      <c r="A14" s="9" t="s">
        <v>301</v>
      </c>
      <c r="B14" s="16">
        <v>3</v>
      </c>
      <c r="C14" s="10" t="s">
        <v>54</v>
      </c>
      <c r="D14" s="17" t="s">
        <v>302</v>
      </c>
      <c r="E14" s="18" t="s">
        <v>303</v>
      </c>
    </row>
    <row r="15" spans="1:5" x14ac:dyDescent="0.25">
      <c r="A15" s="9" t="s">
        <v>304</v>
      </c>
      <c r="B15" s="16">
        <v>2.5</v>
      </c>
      <c r="C15" s="10" t="s">
        <v>54</v>
      </c>
      <c r="D15" s="17" t="s">
        <v>305</v>
      </c>
      <c r="E15" s="18" t="s">
        <v>306</v>
      </c>
    </row>
    <row r="16" spans="1:5" x14ac:dyDescent="0.25">
      <c r="A16" s="9" t="s">
        <v>307</v>
      </c>
      <c r="B16" s="16">
        <v>12</v>
      </c>
      <c r="C16" s="10" t="s">
        <v>54</v>
      </c>
      <c r="D16" s="17" t="s">
        <v>168</v>
      </c>
      <c r="E16" s="18" t="s">
        <v>308</v>
      </c>
    </row>
    <row r="17" spans="1:5" x14ac:dyDescent="0.25">
      <c r="A17" s="9" t="s">
        <v>309</v>
      </c>
      <c r="B17" s="16">
        <v>5</v>
      </c>
      <c r="C17" s="10" t="s">
        <v>54</v>
      </c>
      <c r="D17" s="17" t="s">
        <v>168</v>
      </c>
      <c r="E17" s="18" t="s">
        <v>310</v>
      </c>
    </row>
    <row r="18" ht="20" customHeight="1" spans="1:5" x14ac:dyDescent="0.25">
      <c r="A18" s="8" t="s">
        <v>311</v>
      </c>
      <c r="B18" s="8"/>
      <c r="C18" s="8"/>
      <c r="D18" s="8"/>
      <c r="E18" s="8"/>
    </row>
    <row r="19" spans="1:5" x14ac:dyDescent="0.25">
      <c r="A19" s="9" t="s">
        <v>189</v>
      </c>
      <c r="B19" s="16">
        <v>400</v>
      </c>
      <c r="C19" s="10" t="s">
        <v>54</v>
      </c>
      <c r="D19" s="17" t="s">
        <v>312</v>
      </c>
      <c r="E19" s="18" t="s">
        <v>313</v>
      </c>
    </row>
    <row r="20" spans="1:5" x14ac:dyDescent="0.25">
      <c r="A20" s="9" t="s">
        <v>314</v>
      </c>
      <c r="B20" s="16">
        <v>40</v>
      </c>
      <c r="C20" s="10" t="s">
        <v>315</v>
      </c>
      <c r="D20" s="17" t="s">
        <v>316</v>
      </c>
      <c r="E20" s="18" t="s">
        <v>317</v>
      </c>
    </row>
    <row r="21" spans="1:5" x14ac:dyDescent="0.25">
      <c r="A21" s="9" t="s">
        <v>318</v>
      </c>
      <c r="B21" s="16">
        <v>2.5</v>
      </c>
      <c r="C21" s="10" t="s">
        <v>35</v>
      </c>
      <c r="D21" s="17" t="s">
        <v>168</v>
      </c>
      <c r="E21" s="18" t="s">
        <v>319</v>
      </c>
    </row>
    <row r="22" spans="1:5" x14ac:dyDescent="0.25">
      <c r="A22" s="9" t="s">
        <v>320</v>
      </c>
      <c r="B22" s="16">
        <v>75</v>
      </c>
      <c r="C22" s="10" t="s">
        <v>243</v>
      </c>
      <c r="D22" s="17" t="s">
        <v>321</v>
      </c>
      <c r="E22" s="18" t="s">
        <v>322</v>
      </c>
    </row>
    <row r="23" spans="1:5" x14ac:dyDescent="0.25">
      <c r="A23" s="9" t="s">
        <v>245</v>
      </c>
      <c r="B23" s="16">
        <v>4</v>
      </c>
      <c r="C23" s="10" t="s">
        <v>246</v>
      </c>
      <c r="D23" s="17" t="s">
        <v>168</v>
      </c>
      <c r="E23" s="18" t="s">
        <v>323</v>
      </c>
    </row>
    <row r="24" spans="1:5" x14ac:dyDescent="0.25">
      <c r="A24" s="9" t="s">
        <v>324</v>
      </c>
      <c r="B24" s="16">
        <v>0.1</v>
      </c>
      <c r="C24" s="10" t="s">
        <v>32</v>
      </c>
      <c r="D24" s="17" t="s">
        <v>325</v>
      </c>
      <c r="E24" s="18" t="s">
        <v>326</v>
      </c>
    </row>
  </sheetData>
  <mergeCells count="5">
    <mergeCell ref="A1:E1"/>
    <mergeCell ref="A2:E2"/>
    <mergeCell ref="A5:E5"/>
    <mergeCell ref="A13:E13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327</v>
      </c>
      <c r="B1" s="4"/>
      <c r="C1" s="4"/>
      <c r="D1" s="4"/>
      <c r="E1" s="4"/>
    </row>
    <row r="2" spans="1:5" x14ac:dyDescent="0.25">
      <c r="A2" s="5" t="s">
        <v>328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329</v>
      </c>
      <c r="E6" s="18" t="s">
        <v>90</v>
      </c>
    </row>
    <row r="7" spans="1:5" x14ac:dyDescent="0.25">
      <c r="A7" s="9" t="s">
        <v>330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331</v>
      </c>
      <c r="B9" s="16">
        <v>110</v>
      </c>
      <c r="C9" s="10" t="s">
        <v>54</v>
      </c>
      <c r="D9" s="17" t="s">
        <v>168</v>
      </c>
      <c r="E9" s="18" t="s">
        <v>270</v>
      </c>
    </row>
    <row r="10" spans="1:5" x14ac:dyDescent="0.25">
      <c r="A10" s="9" t="s">
        <v>271</v>
      </c>
      <c r="B10" s="16">
        <v>30</v>
      </c>
      <c r="C10" s="10" t="s">
        <v>73</v>
      </c>
      <c r="D10" s="17" t="s">
        <v>299</v>
      </c>
      <c r="E10" s="18" t="s">
        <v>169</v>
      </c>
    </row>
    <row r="11" ht="20" customHeight="1" spans="1:5" x14ac:dyDescent="0.25">
      <c r="A11" s="8" t="s">
        <v>332</v>
      </c>
      <c r="B11" s="8"/>
      <c r="C11" s="8"/>
      <c r="D11" s="8"/>
      <c r="E11" s="8"/>
    </row>
    <row r="12" spans="1:5" x14ac:dyDescent="0.25">
      <c r="A12" s="9" t="s">
        <v>231</v>
      </c>
      <c r="B12" s="16">
        <v>2</v>
      </c>
      <c r="C12" s="10" t="s">
        <v>32</v>
      </c>
      <c r="D12" s="17" t="s">
        <v>168</v>
      </c>
      <c r="E12" s="18" t="s">
        <v>251</v>
      </c>
    </row>
    <row r="13" spans="1:5" x14ac:dyDescent="0.25">
      <c r="A13" s="9" t="s">
        <v>189</v>
      </c>
      <c r="B13" s="16">
        <v>1000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253</v>
      </c>
      <c r="B14" s="16">
        <v>0.3</v>
      </c>
      <c r="C14" s="10" t="s">
        <v>35</v>
      </c>
      <c r="D14" s="17" t="s">
        <v>168</v>
      </c>
      <c r="E14" s="18" t="s">
        <v>255</v>
      </c>
    </row>
    <row r="15" spans="1:5" x14ac:dyDescent="0.25">
      <c r="A15" s="9" t="s">
        <v>242</v>
      </c>
      <c r="B15" s="16">
        <v>800</v>
      </c>
      <c r="C15" s="10" t="s">
        <v>243</v>
      </c>
      <c r="D15" s="17" t="s">
        <v>168</v>
      </c>
      <c r="E15" s="18" t="s">
        <v>256</v>
      </c>
    </row>
    <row r="16" spans="1:5" x14ac:dyDescent="0.25">
      <c r="A16" s="9" t="s">
        <v>245</v>
      </c>
      <c r="B16" s="16">
        <v>1.72</v>
      </c>
      <c r="C16" s="10" t="s">
        <v>246</v>
      </c>
      <c r="D16" s="17" t="s">
        <v>168</v>
      </c>
      <c r="E16" s="18" t="s">
        <v>257</v>
      </c>
    </row>
    <row r="17" spans="1:5" x14ac:dyDescent="0.25">
      <c r="A17" s="9" t="s">
        <v>258</v>
      </c>
      <c r="B17" s="16">
        <v>35</v>
      </c>
      <c r="C17" s="10" t="s">
        <v>246</v>
      </c>
      <c r="D17" s="17" t="s">
        <v>259</v>
      </c>
      <c r="E17" s="18" t="s">
        <v>260</v>
      </c>
    </row>
    <row r="18" spans="1:5" x14ac:dyDescent="0.25">
      <c r="A18" s="9" t="s">
        <v>261</v>
      </c>
      <c r="B18" s="16">
        <v>70</v>
      </c>
      <c r="C18" s="10" t="s">
        <v>246</v>
      </c>
      <c r="D18" s="17" t="s">
        <v>168</v>
      </c>
      <c r="E18" s="18" t="s">
        <v>263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333</v>
      </c>
      <c r="B1" s="4"/>
      <c r="C1" s="4"/>
      <c r="D1" s="4"/>
      <c r="E1" s="4"/>
    </row>
    <row r="2" spans="1:5" x14ac:dyDescent="0.25">
      <c r="A2" s="5" t="s">
        <v>334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335</v>
      </c>
      <c r="B5" s="8"/>
      <c r="C5" s="8"/>
      <c r="D5" s="8"/>
      <c r="E5" s="8"/>
    </row>
    <row r="6" spans="1:5" x14ac:dyDescent="0.25">
      <c r="A6" s="9" t="s">
        <v>336</v>
      </c>
      <c r="B6" s="16">
        <v>1500</v>
      </c>
      <c r="C6" s="10" t="s">
        <v>32</v>
      </c>
      <c r="D6" s="17" t="s">
        <v>337</v>
      </c>
      <c r="E6" s="18" t="s">
        <v>90</v>
      </c>
    </row>
    <row r="7" spans="1:5" x14ac:dyDescent="0.25">
      <c r="A7" s="9" t="s">
        <v>249</v>
      </c>
      <c r="B7" s="16">
        <v>2000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331</v>
      </c>
      <c r="B8" s="16">
        <v>1000</v>
      </c>
      <c r="C8" s="10" t="s">
        <v>54</v>
      </c>
      <c r="D8" s="17" t="s">
        <v>338</v>
      </c>
      <c r="E8" s="18" t="s">
        <v>270</v>
      </c>
    </row>
    <row r="9" spans="1:5" x14ac:dyDescent="0.25">
      <c r="A9" s="9" t="s">
        <v>339</v>
      </c>
      <c r="B9" s="16">
        <v>1500</v>
      </c>
      <c r="C9" s="10" t="s">
        <v>54</v>
      </c>
      <c r="D9" s="17" t="s">
        <v>340</v>
      </c>
      <c r="E9" s="18" t="s">
        <v>341</v>
      </c>
    </row>
    <row r="10" spans="1:5" x14ac:dyDescent="0.25">
      <c r="A10" s="9" t="s">
        <v>271</v>
      </c>
      <c r="B10" s="16">
        <v>60</v>
      </c>
      <c r="C10" s="10" t="s">
        <v>73</v>
      </c>
      <c r="D10" s="17" t="s">
        <v>342</v>
      </c>
      <c r="E10" s="18" t="s">
        <v>169</v>
      </c>
    </row>
    <row r="11" ht="20" customHeight="1" spans="1:5" x14ac:dyDescent="0.25">
      <c r="A11" s="8" t="s">
        <v>343</v>
      </c>
      <c r="B11" s="8"/>
      <c r="C11" s="8"/>
      <c r="D11" s="8"/>
      <c r="E11" s="8"/>
    </row>
    <row r="12" spans="1:5" x14ac:dyDescent="0.25">
      <c r="A12" s="9" t="s">
        <v>344</v>
      </c>
      <c r="B12" s="16">
        <v>6</v>
      </c>
      <c r="C12" s="10" t="s">
        <v>345</v>
      </c>
      <c r="D12" s="17" t="s">
        <v>346</v>
      </c>
      <c r="E12" s="18" t="s">
        <v>345</v>
      </c>
    </row>
    <row r="13" spans="1:5" x14ac:dyDescent="0.25">
      <c r="A13" s="9" t="s">
        <v>347</v>
      </c>
      <c r="B13" s="16">
        <v>50</v>
      </c>
      <c r="C13" s="10" t="s">
        <v>32</v>
      </c>
      <c r="D13" s="17" t="s">
        <v>168</v>
      </c>
      <c r="E13" s="18" t="s">
        <v>348</v>
      </c>
    </row>
    <row r="14" spans="1:5" x14ac:dyDescent="0.25">
      <c r="A14" s="9" t="s">
        <v>349</v>
      </c>
      <c r="B14" s="16">
        <v>100</v>
      </c>
      <c r="C14" s="10" t="s">
        <v>32</v>
      </c>
      <c r="D14" s="17" t="s">
        <v>168</v>
      </c>
      <c r="E14" s="18" t="s">
        <v>350</v>
      </c>
    </row>
    <row r="15" spans="1:5" x14ac:dyDescent="0.25">
      <c r="A15" s="9" t="s">
        <v>351</v>
      </c>
      <c r="B15" s="16">
        <v>24</v>
      </c>
      <c r="C15" s="10" t="s">
        <v>54</v>
      </c>
      <c r="D15" s="17" t="s">
        <v>168</v>
      </c>
      <c r="E15" s="18" t="s">
        <v>352</v>
      </c>
    </row>
    <row r="16" spans="1:5" x14ac:dyDescent="0.25">
      <c r="A16" s="9" t="s">
        <v>353</v>
      </c>
      <c r="B16" s="16">
        <v>1.5</v>
      </c>
      <c r="C16" s="10" t="s">
        <v>35</v>
      </c>
      <c r="D16" s="17" t="s">
        <v>354</v>
      </c>
      <c r="E16" s="18" t="s">
        <v>355</v>
      </c>
    </row>
    <row r="17" spans="1:5" x14ac:dyDescent="0.25">
      <c r="A17" s="9" t="s">
        <v>231</v>
      </c>
      <c r="B17" s="16">
        <v>2</v>
      </c>
      <c r="C17" s="10" t="s">
        <v>32</v>
      </c>
      <c r="D17" s="17" t="s">
        <v>356</v>
      </c>
      <c r="E17" s="18" t="s">
        <v>251</v>
      </c>
    </row>
    <row r="18" spans="1:5" x14ac:dyDescent="0.25">
      <c r="A18" s="9" t="s">
        <v>189</v>
      </c>
      <c r="B18" s="16">
        <v>2000</v>
      </c>
      <c r="C18" s="10" t="s">
        <v>54</v>
      </c>
      <c r="D18" s="17" t="s">
        <v>168</v>
      </c>
      <c r="E18" s="18" t="s">
        <v>252</v>
      </c>
    </row>
    <row r="19" spans="1:5" x14ac:dyDescent="0.25">
      <c r="A19" s="9" t="s">
        <v>242</v>
      </c>
      <c r="B19" s="16">
        <v>800</v>
      </c>
      <c r="C19" s="10" t="s">
        <v>243</v>
      </c>
      <c r="D19" s="17" t="s">
        <v>168</v>
      </c>
      <c r="E19" s="18" t="s">
        <v>256</v>
      </c>
    </row>
    <row r="20" spans="1:5" x14ac:dyDescent="0.25">
      <c r="A20" s="9" t="s">
        <v>245</v>
      </c>
      <c r="B20" s="16">
        <v>1.72</v>
      </c>
      <c r="C20" s="10" t="s">
        <v>246</v>
      </c>
      <c r="D20" s="17" t="s">
        <v>168</v>
      </c>
      <c r="E20" s="18" t="s">
        <v>257</v>
      </c>
    </row>
    <row r="21" spans="1:5" x14ac:dyDescent="0.25">
      <c r="A21" s="9" t="s">
        <v>258</v>
      </c>
      <c r="B21" s="16">
        <v>35</v>
      </c>
      <c r="C21" s="10" t="s">
        <v>246</v>
      </c>
      <c r="D21" s="17" t="s">
        <v>357</v>
      </c>
      <c r="E21" s="18" t="s">
        <v>260</v>
      </c>
    </row>
    <row r="22" spans="1:5" x14ac:dyDescent="0.25">
      <c r="A22" s="9" t="s">
        <v>358</v>
      </c>
      <c r="B22" s="16">
        <v>35</v>
      </c>
      <c r="C22" s="10" t="s">
        <v>246</v>
      </c>
      <c r="D22" s="17" t="s">
        <v>168</v>
      </c>
      <c r="E22" s="18" t="s">
        <v>263</v>
      </c>
    </row>
  </sheetData>
  <mergeCells count="4">
    <mergeCell ref="A1:E1"/>
    <mergeCell ref="A2:E2"/>
    <mergeCell ref="A5:E5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359</v>
      </c>
      <c r="B1" s="4"/>
      <c r="C1" s="4"/>
      <c r="D1" s="4"/>
      <c r="E1" s="4"/>
    </row>
    <row r="2" spans="1:5" x14ac:dyDescent="0.25">
      <c r="A2" s="5" t="s">
        <v>360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361</v>
      </c>
      <c r="B5" s="8"/>
      <c r="C5" s="8"/>
      <c r="D5" s="8"/>
      <c r="E5" s="8"/>
    </row>
    <row r="6" spans="1:5" x14ac:dyDescent="0.25">
      <c r="A6" s="9" t="s">
        <v>31</v>
      </c>
      <c r="B6" s="16">
        <v>1500</v>
      </c>
      <c r="C6" s="10" t="s">
        <v>32</v>
      </c>
      <c r="D6" s="17" t="s">
        <v>362</v>
      </c>
      <c r="E6" s="18" t="s">
        <v>90</v>
      </c>
    </row>
    <row r="7" spans="1:5" x14ac:dyDescent="0.25">
      <c r="A7" s="9" t="s">
        <v>363</v>
      </c>
      <c r="B7" s="16">
        <v>5000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268</v>
      </c>
      <c r="B8" s="16">
        <v>500</v>
      </c>
      <c r="C8" s="10" t="s">
        <v>54</v>
      </c>
      <c r="D8" s="17" t="s">
        <v>168</v>
      </c>
      <c r="E8" s="18" t="s">
        <v>270</v>
      </c>
    </row>
    <row r="9" ht="20" customHeight="1" spans="1:5" x14ac:dyDescent="0.25">
      <c r="A9" s="8" t="s">
        <v>71</v>
      </c>
      <c r="B9" s="8"/>
      <c r="C9" s="8"/>
      <c r="D9" s="8"/>
      <c r="E9" s="8"/>
    </row>
    <row r="10" spans="1:5" x14ac:dyDescent="0.25">
      <c r="A10" s="9" t="s">
        <v>364</v>
      </c>
      <c r="B10" s="16">
        <v>2000</v>
      </c>
      <c r="C10" s="10" t="s">
        <v>54</v>
      </c>
      <c r="D10" s="17" t="s">
        <v>365</v>
      </c>
      <c r="E10" s="18" t="s">
        <v>366</v>
      </c>
    </row>
    <row r="11" spans="1:5" x14ac:dyDescent="0.25">
      <c r="A11" s="9" t="s">
        <v>367</v>
      </c>
      <c r="B11" s="16">
        <v>3500</v>
      </c>
      <c r="C11" s="10" t="s">
        <v>54</v>
      </c>
      <c r="D11" s="17" t="s">
        <v>368</v>
      </c>
      <c r="E11" s="18" t="s">
        <v>369</v>
      </c>
    </row>
    <row r="12" spans="1:5" x14ac:dyDescent="0.25">
      <c r="A12" s="9" t="s">
        <v>271</v>
      </c>
      <c r="B12" s="16">
        <v>300</v>
      </c>
      <c r="C12" s="10" t="s">
        <v>73</v>
      </c>
      <c r="D12" s="17" t="s">
        <v>370</v>
      </c>
      <c r="E12" s="18" t="s">
        <v>169</v>
      </c>
    </row>
    <row r="13" ht="20" customHeight="1" spans="1:5" x14ac:dyDescent="0.25">
      <c r="A13" s="8" t="s">
        <v>371</v>
      </c>
      <c r="B13" s="8"/>
      <c r="C13" s="8"/>
      <c r="D13" s="8"/>
      <c r="E13" s="8"/>
    </row>
    <row r="14" spans="1:5" x14ac:dyDescent="0.25">
      <c r="A14" s="9" t="s">
        <v>372</v>
      </c>
      <c r="B14" s="16">
        <v>40</v>
      </c>
      <c r="C14" s="10" t="s">
        <v>37</v>
      </c>
      <c r="D14" s="17" t="s">
        <v>168</v>
      </c>
      <c r="E14" s="18" t="s">
        <v>122</v>
      </c>
    </row>
    <row r="15" spans="1:5" x14ac:dyDescent="0.25">
      <c r="A15" s="9" t="s">
        <v>189</v>
      </c>
      <c r="B15" s="16">
        <v>900</v>
      </c>
      <c r="C15" s="10" t="s">
        <v>54</v>
      </c>
      <c r="D15" s="17" t="s">
        <v>168</v>
      </c>
      <c r="E15" s="18" t="s">
        <v>124</v>
      </c>
    </row>
    <row r="16" spans="1:5" x14ac:dyDescent="0.25">
      <c r="A16" s="9" t="s">
        <v>373</v>
      </c>
      <c r="B16" s="16">
        <v>25</v>
      </c>
      <c r="C16" s="10" t="s">
        <v>246</v>
      </c>
      <c r="D16" s="17" t="s">
        <v>374</v>
      </c>
      <c r="E16" s="18" t="s">
        <v>375</v>
      </c>
    </row>
    <row r="17" spans="1:5" x14ac:dyDescent="0.25">
      <c r="A17" s="9" t="s">
        <v>376</v>
      </c>
      <c r="B17" s="16">
        <v>4</v>
      </c>
      <c r="C17" s="10" t="s">
        <v>35</v>
      </c>
      <c r="D17" s="17" t="s">
        <v>168</v>
      </c>
      <c r="E17" s="18" t="s">
        <v>377</v>
      </c>
    </row>
    <row r="18" spans="1:5" x14ac:dyDescent="0.25">
      <c r="A18" s="9" t="s">
        <v>378</v>
      </c>
      <c r="B18" s="16">
        <v>6</v>
      </c>
      <c r="C18" s="10" t="s">
        <v>35</v>
      </c>
      <c r="D18" s="17" t="s">
        <v>168</v>
      </c>
      <c r="E18" s="18" t="s">
        <v>379</v>
      </c>
    </row>
    <row r="19" ht="20" customHeight="1" spans="1:5" x14ac:dyDescent="0.25">
      <c r="A19" s="8" t="s">
        <v>380</v>
      </c>
      <c r="B19" s="8"/>
      <c r="C19" s="8"/>
      <c r="D19" s="8"/>
      <c r="E19" s="8"/>
    </row>
    <row r="20" spans="1:5" x14ac:dyDescent="0.25">
      <c r="A20" s="9" t="s">
        <v>372</v>
      </c>
      <c r="B20" s="16">
        <v>15</v>
      </c>
      <c r="C20" s="10" t="s">
        <v>32</v>
      </c>
      <c r="D20" s="17" t="s">
        <v>168</v>
      </c>
      <c r="E20" s="18" t="s">
        <v>188</v>
      </c>
    </row>
    <row r="21" spans="1:5" x14ac:dyDescent="0.25">
      <c r="A21" s="9" t="s">
        <v>189</v>
      </c>
      <c r="B21" s="16">
        <v>1500</v>
      </c>
      <c r="C21" s="10" t="s">
        <v>54</v>
      </c>
      <c r="D21" s="17" t="s">
        <v>168</v>
      </c>
      <c r="E21" s="18" t="s">
        <v>190</v>
      </c>
    </row>
    <row r="22" spans="1:5" x14ac:dyDescent="0.25">
      <c r="A22" s="9" t="s">
        <v>191</v>
      </c>
      <c r="B22" s="16">
        <v>1.2</v>
      </c>
      <c r="C22" s="10" t="s">
        <v>35</v>
      </c>
      <c r="D22" s="17" t="s">
        <v>168</v>
      </c>
      <c r="E22" s="18" t="s">
        <v>192</v>
      </c>
    </row>
    <row r="23" spans="1:5" x14ac:dyDescent="0.25">
      <c r="A23" s="9" t="s">
        <v>193</v>
      </c>
      <c r="B23" s="16">
        <v>2.4</v>
      </c>
      <c r="C23" s="10" t="s">
        <v>35</v>
      </c>
      <c r="D23" s="17" t="s">
        <v>168</v>
      </c>
      <c r="E23" s="18" t="s">
        <v>194</v>
      </c>
    </row>
    <row r="24" ht="20" customHeight="1" spans="1:5" x14ac:dyDescent="0.25">
      <c r="A24" s="8" t="s">
        <v>381</v>
      </c>
      <c r="B24" s="8"/>
      <c r="C24" s="8"/>
      <c r="D24" s="8"/>
      <c r="E24" s="8"/>
    </row>
    <row r="25" spans="1:5" x14ac:dyDescent="0.25">
      <c r="A25" s="9" t="s">
        <v>382</v>
      </c>
      <c r="B25" s="16">
        <v>3</v>
      </c>
      <c r="C25" s="10" t="s">
        <v>383</v>
      </c>
      <c r="D25" s="17" t="s">
        <v>384</v>
      </c>
      <c r="E25" s="18" t="s">
        <v>383</v>
      </c>
    </row>
    <row r="26" spans="1:5" x14ac:dyDescent="0.25">
      <c r="A26" s="9" t="s">
        <v>385</v>
      </c>
      <c r="B26" s="16">
        <v>60</v>
      </c>
      <c r="C26" s="10" t="s">
        <v>32</v>
      </c>
      <c r="D26" s="17" t="s">
        <v>168</v>
      </c>
      <c r="E26" s="18" t="s">
        <v>386</v>
      </c>
    </row>
    <row r="27" spans="1:5" x14ac:dyDescent="0.25">
      <c r="A27" s="9" t="s">
        <v>387</v>
      </c>
      <c r="B27" s="16">
        <v>300</v>
      </c>
      <c r="C27" s="10" t="s">
        <v>32</v>
      </c>
      <c r="D27" s="17" t="s">
        <v>168</v>
      </c>
      <c r="E27" s="18" t="s">
        <v>388</v>
      </c>
    </row>
  </sheetData>
  <mergeCells count="7">
    <mergeCell ref="A1:E1"/>
    <mergeCell ref="A2:E2"/>
    <mergeCell ref="A5:E5"/>
    <mergeCell ref="A9:E9"/>
    <mergeCell ref="A13:E13"/>
    <mergeCell ref="A19:E19"/>
    <mergeCell ref="A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389</v>
      </c>
      <c r="B1" s="4"/>
      <c r="C1" s="4"/>
      <c r="D1" s="4"/>
      <c r="E1" s="4"/>
    </row>
    <row r="2" spans="1:5" x14ac:dyDescent="0.25">
      <c r="A2" s="5" t="s">
        <v>390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391</v>
      </c>
      <c r="B5" s="8"/>
      <c r="C5" s="8"/>
      <c r="D5" s="8"/>
      <c r="E5" s="8"/>
    </row>
    <row r="6" spans="1:5" x14ac:dyDescent="0.25">
      <c r="A6" s="9" t="s">
        <v>43</v>
      </c>
      <c r="B6" s="16">
        <v>5</v>
      </c>
      <c r="C6" s="10" t="s">
        <v>32</v>
      </c>
      <c r="D6" s="17" t="s">
        <v>168</v>
      </c>
      <c r="E6" s="18" t="s">
        <v>104</v>
      </c>
    </row>
    <row r="7" spans="1:5" x14ac:dyDescent="0.25">
      <c r="A7" s="9" t="s">
        <v>275</v>
      </c>
      <c r="B7" s="16">
        <v>0.14</v>
      </c>
      <c r="C7" s="10" t="s">
        <v>35</v>
      </c>
      <c r="D7" s="17" t="s">
        <v>168</v>
      </c>
      <c r="E7" s="18" t="s">
        <v>392</v>
      </c>
    </row>
    <row r="8" spans="1:5" x14ac:dyDescent="0.25">
      <c r="A8" s="9" t="s">
        <v>277</v>
      </c>
      <c r="B8" s="16">
        <v>0.26</v>
      </c>
      <c r="C8" s="10" t="s">
        <v>35</v>
      </c>
      <c r="D8" s="17" t="s">
        <v>168</v>
      </c>
      <c r="E8" s="18" t="s">
        <v>393</v>
      </c>
    </row>
    <row r="9" spans="1:5" x14ac:dyDescent="0.25">
      <c r="A9" s="9" t="s">
        <v>394</v>
      </c>
      <c r="B9" s="16">
        <v>1000</v>
      </c>
      <c r="C9" s="10" t="s">
        <v>54</v>
      </c>
      <c r="D9" s="17" t="s">
        <v>168</v>
      </c>
      <c r="E9" s="18" t="s">
        <v>395</v>
      </c>
    </row>
    <row r="10" spans="1:5" x14ac:dyDescent="0.25">
      <c r="A10" s="9" t="s">
        <v>195</v>
      </c>
      <c r="B10" s="16">
        <v>1</v>
      </c>
      <c r="C10" s="10" t="s">
        <v>196</v>
      </c>
      <c r="D10" s="17" t="s">
        <v>168</v>
      </c>
      <c r="E10" s="18" t="s">
        <v>396</v>
      </c>
    </row>
    <row r="11" spans="1:5" x14ac:dyDescent="0.25">
      <c r="A11" s="9" t="s">
        <v>57</v>
      </c>
      <c r="B11" s="16">
        <v>70</v>
      </c>
      <c r="C11" s="10" t="s">
        <v>37</v>
      </c>
      <c r="D11" s="17" t="s">
        <v>397</v>
      </c>
      <c r="E11" s="18" t="s">
        <v>122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168</v>
      </c>
      <c r="E12" s="18" t="s">
        <v>124</v>
      </c>
    </row>
    <row r="13" ht="20" customHeight="1" spans="1:5" x14ac:dyDescent="0.25">
      <c r="A13" s="8" t="s">
        <v>398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399</v>
      </c>
      <c r="E14" s="18" t="s">
        <v>142</v>
      </c>
    </row>
    <row r="15" spans="1:5" x14ac:dyDescent="0.25">
      <c r="A15" s="9" t="s">
        <v>400</v>
      </c>
      <c r="B15" s="16">
        <v>2000</v>
      </c>
      <c r="C15" s="10" t="s">
        <v>54</v>
      </c>
      <c r="D15" s="17" t="s">
        <v>401</v>
      </c>
      <c r="E15" s="18" t="s">
        <v>402</v>
      </c>
    </row>
    <row r="16" spans="1:5" x14ac:dyDescent="0.25">
      <c r="A16" s="9" t="s">
        <v>403</v>
      </c>
      <c r="B16" s="16">
        <v>1000</v>
      </c>
      <c r="C16" s="10" t="s">
        <v>54</v>
      </c>
      <c r="D16" s="17" t="s">
        <v>404</v>
      </c>
      <c r="E16" s="18" t="s">
        <v>405</v>
      </c>
    </row>
    <row r="17" spans="1:5" x14ac:dyDescent="0.25">
      <c r="A17" s="9" t="s">
        <v>406</v>
      </c>
      <c r="B17" s="16">
        <v>60</v>
      </c>
      <c r="C17" s="10" t="s">
        <v>70</v>
      </c>
      <c r="D17" s="17" t="s">
        <v>407</v>
      </c>
      <c r="E17" s="18" t="s">
        <v>408</v>
      </c>
    </row>
    <row r="18" spans="1:5" x14ac:dyDescent="0.25">
      <c r="A18" s="9" t="s">
        <v>409</v>
      </c>
      <c r="B18" s="16">
        <v>600</v>
      </c>
      <c r="C18" s="10" t="s">
        <v>54</v>
      </c>
      <c r="D18" s="17" t="s">
        <v>410</v>
      </c>
      <c r="E18" s="18" t="s">
        <v>411</v>
      </c>
    </row>
    <row r="19" spans="1:5" x14ac:dyDescent="0.25">
      <c r="A19" s="9" t="s">
        <v>412</v>
      </c>
      <c r="B19" s="16">
        <v>5</v>
      </c>
      <c r="C19" s="10" t="s">
        <v>35</v>
      </c>
      <c r="D19" s="17" t="s">
        <v>168</v>
      </c>
      <c r="E19" s="18" t="s">
        <v>413</v>
      </c>
    </row>
    <row r="20" spans="1:5" x14ac:dyDescent="0.25">
      <c r="A20" s="9" t="s">
        <v>414</v>
      </c>
      <c r="B20" s="16">
        <v>10</v>
      </c>
      <c r="C20" s="10" t="s">
        <v>35</v>
      </c>
      <c r="D20" s="17" t="s">
        <v>168</v>
      </c>
      <c r="E20" s="18" t="s">
        <v>415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Artillería</vt:lpstr>
      <vt:lpstr>Batallón</vt:lpstr>
      <vt:lpstr>Barco naval</vt:lpstr>
      <vt:lpstr>Superdirigible</vt:lpstr>
      <vt:lpstr>Sierpe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2026-10-30T22:51:37Z</dcterms:created>
  <dcterms:modified xsi:type="dcterms:W3CDTF">2026-10-30T22:51:37Z</dcterms:modified>
</cp:coreProperties>
</file>